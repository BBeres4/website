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en\Desktop\personal website\"/>
    </mc:Choice>
  </mc:AlternateContent>
  <xr:revisionPtr revIDLastSave="0" documentId="13_ncr:1_{DA0C8EB8-3198-4190-BD4E-ABF4BB140E71}" xr6:coauthVersionLast="47" xr6:coauthVersionMax="47" xr10:uidLastSave="{00000000-0000-0000-0000-000000000000}"/>
  <bookViews>
    <workbookView xWindow="-120" yWindow="-120" windowWidth="29040" windowHeight="15720" xr2:uid="{4D835893-D1A0-4330-94EF-8082FBB7A43D}"/>
  </bookViews>
  <sheets>
    <sheet name="Parms" sheetId="1" r:id="rId1"/>
    <sheet name="Transaction Summary" sheetId="7" r:id="rId2"/>
    <sheet name="LBO Returns" sheetId="8" r:id="rId3"/>
    <sheet name="Financial Statements" sheetId="2" r:id="rId4"/>
    <sheet name="DCF Model" sheetId="6" r:id="rId5"/>
    <sheet name="DebtSchedule" sheetId="4" r:id="rId6"/>
  </sheets>
  <definedNames>
    <definedName name="CanYouRedo">'Financial Statements'!$K$28:$M$28</definedName>
    <definedName name="CLASSEBITDA">'Financial Statements'!$K$29:$M$29</definedName>
    <definedName name="company.name">Parms!$A$1</definedName>
    <definedName name="D.F.Interest.Expense">DebtSchedule!$K$18:$O$18</definedName>
    <definedName name="d.f.Ltdebt">DebtSchedule!$K$22:$O$22</definedName>
    <definedName name="d.f.Stdebt">DebtSchedule!$K$21:$O$21</definedName>
    <definedName name="D.H.Interest.Expense">DebtSchedule!$G$18:$I$18</definedName>
    <definedName name="D.H.LTDebt">DebtSchedule!$G$22:$I$22</definedName>
    <definedName name="D.H.STDebt">DebtSchedule!$G$21:$I$21</definedName>
    <definedName name="dates.fcst">Parms!$J$1:$N$1</definedName>
    <definedName name="dates.hist">Parms!$G$1:$I$1</definedName>
    <definedName name="DCF.Debt">DebtSchedule!$I$9</definedName>
    <definedName name="DCF.Equity">'Financial Statements'!$I$82</definedName>
    <definedName name="DCF.FCF.Year5">'DCF Model'!$K$24</definedName>
    <definedName name="DCF.Interest.Expense">DebtSchedule!$I$18</definedName>
    <definedName name="DCF.Pref.Stock">'Financial Statements'!$I$78</definedName>
    <definedName name="DCF.Table">'DCF Model'!$G$15:$K$24</definedName>
    <definedName name="DCF.Terminal.Discount">'DCF Model'!$K$25</definedName>
    <definedName name="DCF.Terminal.EBITDA">'DCF Model'!$K$15</definedName>
    <definedName name="delete">Parms!$J$32:$N$33</definedName>
    <definedName name="F.Cash">'Financial Statements'!$K$117:$O$117</definedName>
    <definedName name="F.Cash.Financing">'Financial Statements'!$K$113:$O$113</definedName>
    <definedName name="F.Cash.Investments">'Financial Statements'!$K$106:$O$106</definedName>
    <definedName name="F.Cash.Ops">'Financial Statements'!$K$101:$O$101</definedName>
    <definedName name="F.COGS">'Financial Statements'!$K$13:$O$13</definedName>
    <definedName name="F.Delta.Working.Capital">'DCF Model'!$G$21:$K$21</definedName>
    <definedName name="F.EBIT">'Financial Statements'!$K$28:$O$28</definedName>
    <definedName name="f.equity">'Financial Statements'!$K$82:$O$82</definedName>
    <definedName name="F.Fixed.Costs">'Financial Statements'!$K$26:$O$26</definedName>
    <definedName name="F.Margin">'Financial Statements'!$K$15:$O$15</definedName>
    <definedName name="F.Net.Income">'Financial Statements'!$K$37:$O$37</definedName>
    <definedName name="F.Revenues">'Financial Statements'!$K$7:$O$7</definedName>
    <definedName name="Goldman.Fee">'Transaction Summary'!$G$19</definedName>
    <definedName name="H.Amort.Exp">'Financial Statements'!$G$25:$I$25</definedName>
    <definedName name="H.Capital">'Financial Statements'!$G$84:$I$84</definedName>
    <definedName name="H.Cash">'Financial Statements'!$G$117:$I$117</definedName>
    <definedName name="H.Cash.Financing">'Financial Statements'!$H$113:$I$113</definedName>
    <definedName name="H.Cash.From.Ops">'Financial Statements'!$H$101:$I$101</definedName>
    <definedName name="H.Cash.Investment">'Financial Statements'!$H$106:$I$106</definedName>
    <definedName name="H.COGS">'Financial Statements'!$G$13:$I$13</definedName>
    <definedName name="H.Depr.Exp">'Financial Statements'!$G$24:$I$24</definedName>
    <definedName name="H.EBIT">'Financial Statements'!$G$28:$I$28</definedName>
    <definedName name="H.Fixed.Costs">'Financial Statements'!$G$26:$I$26</definedName>
    <definedName name="H.Gross.Margin">'Financial Statements'!$G$15:$I$15</definedName>
    <definedName name="H.Net.Income">'Financial Statements'!$G$37:$I$37</definedName>
    <definedName name="H.Operating.Income">'Financial Statements'!$G$28:$I$28</definedName>
    <definedName name="H.Revenues">'Financial Statements'!$G$7:$I$7</definedName>
    <definedName name="H.Total.Assets">'Financial Statements'!$G$60:$I$60</definedName>
    <definedName name="Hist.Amort">'Financial Statements'!$I$25</definedName>
    <definedName name="hist.cash">'Financial Statements'!$I$46</definedName>
    <definedName name="Hist.Depr">'Financial Statements'!$I$24</definedName>
    <definedName name="Hist.EBIT">'Financial Statements'!$I$28</definedName>
    <definedName name="LBO.Discount.Factors">'LBO Returns'!$G$19:$K$19</definedName>
    <definedName name="LBO.Equity">'Transaction Summary'!$N$7</definedName>
    <definedName name="LBO.Goodwill">'Transaction Summary'!$G$24</definedName>
    <definedName name="LBO.Junk">'Transaction Summary'!$N$6</definedName>
    <definedName name="LBO.LTDebt">DebtSchedule!$J$22</definedName>
    <definedName name="LBO.Revolver">'Transaction Summary'!$N$5</definedName>
    <definedName name="LBO.STDebt">DebtSchedule!$J$21</definedName>
    <definedName name="LBO.Unlevered.FCF">'LBO Returns'!$G$31:$K$31</definedName>
    <definedName name="Min.Cash">'Transaction Summary'!$G$18</definedName>
    <definedName name="p.f.accounts.payable.days">Parms!$J$30:$N$30</definedName>
    <definedName name="p.f.accounts.rec.days">Parms!$J$27:$N$27</definedName>
    <definedName name="p.f.accrueds">Parms!$J$31:$N$31</definedName>
    <definedName name="p.f.amortization.expense">Parms!$J$21:$N$21</definedName>
    <definedName name="p.f.buybacks">Parms!$J$24:$N$24</definedName>
    <definedName name="p.f.capex">Parms!$J$32:$N$32</definedName>
    <definedName name="p.f.cogs">Parms!$J$11:$N$13</definedName>
    <definedName name="p.f.depreciation.expense">Parms!$J$20:$N$20</definedName>
    <definedName name="p.f.dividends">Parms!$J$23:$N$23</definedName>
    <definedName name="p.f.fixed.costs">Parms!$J$15:$N$19</definedName>
    <definedName name="p.f.inventory.days">Parms!$J$28:$N$28</definedName>
    <definedName name="p.f.prepaids">Parms!$J$29:$N$29</definedName>
    <definedName name="p.f.revenues">Parms!$J$3:$N$5</definedName>
    <definedName name="P.H.Accounts.Pay.Days">Parms!$G$30:$I$30</definedName>
    <definedName name="P.H.Accounts.Rec.Days">Parms!$G$27:$I$27</definedName>
    <definedName name="P.H.Accrued.Liabs">Parms!$G$31:$I$31</definedName>
    <definedName name="P.H.Amortization.Expense">Parms!$G$21:$I$21</definedName>
    <definedName name="P.H.Buybacks">Parms!$G$24:$I$24</definedName>
    <definedName name="P.H.CAPEX">Parms!$G$32:$I$32</definedName>
    <definedName name="P.H.COGS">Parms!$G$11:$I$13</definedName>
    <definedName name="P.H.Depreciation.Expense">Parms!$G$20:$I$20</definedName>
    <definedName name="P.H.Dividends">Parms!$G$23:$I$23</definedName>
    <definedName name="P.H.Fixed.Costs">Parms!$G$15:$I$19</definedName>
    <definedName name="P.H.Inventory.Days">Parms!$G$28:$I$28</definedName>
    <definedName name="P.H.Prepaids">Parms!$G$29:$I$29</definedName>
    <definedName name="P.H.Revenues">Parms!$G$3:$I$5</definedName>
    <definedName name="PNC.Fee">'Transaction Summary'!$R$8</definedName>
    <definedName name="rate.revolver">DebtSchedule!$K$15:$O$15</definedName>
    <definedName name="rate.sub.debt">DebtSchedule!$K$16:$O$16</definedName>
    <definedName name="revolver">DebtSchedule!$K$7:$O$7</definedName>
    <definedName name="rightrnage">Parms!$J$23:$N$23</definedName>
    <definedName name="Shares.Outstanding">'DCF Model'!$G$4</definedName>
    <definedName name="solver_eng" localSheetId="4" hidden="1">1</definedName>
    <definedName name="solver_neg" localSheetId="4" hidden="1">1</definedName>
    <definedName name="solver_num" localSheetId="4" hidden="1">0</definedName>
    <definedName name="solver_opt" localSheetId="4" hidden="1">'DCF Model'!$H$66</definedName>
    <definedName name="solver_typ" localSheetId="4" hidden="1">1</definedName>
    <definedName name="solver_val" localSheetId="4" hidden="1">0</definedName>
    <definedName name="solver_ver" localSheetId="4" hidden="1">3</definedName>
    <definedName name="Starting.Acc.Dep">Parms!$G$34</definedName>
    <definedName name="starting.cash">Parms!$G$36</definedName>
    <definedName name="starting.goodwill">Parms!$G$35</definedName>
    <definedName name="Starting.PPE">Parms!$G$33</definedName>
    <definedName name="sub.debt">DebtSchedule!$K$8:$O$8</definedName>
    <definedName name="table.dordon">'DCF Model'!$I$67:$M$71</definedName>
    <definedName name="table.gordon">'DCF Model'!$I$67:$M$71</definedName>
    <definedName name="table.multiple">'DCF Model'!$I$76:$M$80</definedName>
    <definedName name="tax.rate">Parms!$G$22</definedName>
    <definedName name="terminal.cash">'Financial Statements'!$O$46</definedName>
    <definedName name="terminal.ebidta">'LBO Returns'!$K$22</definedName>
    <definedName name="terminal.revolver">'LBO Returns'!$K$4</definedName>
    <definedName name="terminal.sub.debt">'LBO Returns'!$K$5</definedName>
    <definedName name="TV.Gordon">'DCF Model'!$G$38</definedName>
    <definedName name="TV.Multiple">'DCF Model'!$G$49</definedName>
    <definedName name="variable.Paydown">DebtSchedule!$K$46:$O$46</definedName>
    <definedName name="WACC">'DCF Model'!$G$12</definedName>
  </definedNames>
  <calcPr calcId="191028" iterate="1" iterateCount="2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4" i="8" l="1" a="1"/>
  <c r="P44" i="8" s="1"/>
  <c r="P45" i="8" a="1"/>
  <c r="P45" i="8" s="1"/>
  <c r="P46" i="8" a="1"/>
  <c r="P46" i="8" s="1"/>
  <c r="P43" i="8" a="1"/>
  <c r="P43" i="8" s="1"/>
  <c r="O44" i="8"/>
  <c r="O45" i="8"/>
  <c r="O46" i="8"/>
  <c r="O43" i="8"/>
  <c r="O42" i="8" a="1"/>
  <c r="O42" i="8" s="1"/>
  <c r="N43" i="8" a="1"/>
  <c r="N43" i="8" s="1"/>
  <c r="G43" i="8" a="1"/>
  <c r="G43" i="8" s="1"/>
  <c r="G41" i="8"/>
  <c r="H35" i="8" a="1"/>
  <c r="H35" i="8" s="1"/>
  <c r="G35" i="8" a="1"/>
  <c r="G35" i="8" s="1"/>
  <c r="G21" i="8" a="1"/>
  <c r="G21" i="8" s="1"/>
  <c r="H15" i="8"/>
  <c r="I15" i="8" s="1"/>
  <c r="J15" i="8" s="1"/>
  <c r="K15" i="8" s="1"/>
  <c r="G14" i="8" a="1"/>
  <c r="G14" i="8" s="1"/>
  <c r="G13" i="8" a="1"/>
  <c r="G13" i="8" s="1"/>
  <c r="G5" i="8" a="1"/>
  <c r="G5" i="8" s="1"/>
  <c r="G3" i="8" a="1"/>
  <c r="G3" i="8" s="1"/>
  <c r="K44" i="4" a="1"/>
  <c r="K44" i="4" s="1"/>
  <c r="L41" i="4"/>
  <c r="M41" i="4"/>
  <c r="N41" i="4"/>
  <c r="O41" i="4"/>
  <c r="K41" i="4"/>
  <c r="K37" i="4" a="1"/>
  <c r="K37" i="4" s="1"/>
  <c r="K36" i="4" a="1"/>
  <c r="K36" i="4" s="1"/>
  <c r="K33" i="4" a="1"/>
  <c r="K33" i="4" s="1"/>
  <c r="M32" i="1"/>
  <c r="K32" i="1"/>
  <c r="K116" i="2"/>
  <c r="J117" i="2"/>
  <c r="J82" i="2"/>
  <c r="J81" i="2"/>
  <c r="J79" i="2"/>
  <c r="K79" i="2" s="1"/>
  <c r="K78" i="2"/>
  <c r="K80" i="2"/>
  <c r="K72" i="2"/>
  <c r="J72" i="2"/>
  <c r="J9" i="4"/>
  <c r="L8" i="4"/>
  <c r="M8" i="4"/>
  <c r="N8" i="4" s="1"/>
  <c r="O8" i="4" s="1"/>
  <c r="K8" i="4"/>
  <c r="P26" i="4"/>
  <c r="J8" i="4"/>
  <c r="J7" i="4"/>
  <c r="L26" i="4"/>
  <c r="M26" i="4" s="1"/>
  <c r="N26" i="4" s="1"/>
  <c r="O26" i="4" s="1"/>
  <c r="J66" i="2"/>
  <c r="J65" i="2"/>
  <c r="J57" i="2"/>
  <c r="K57" i="2" s="1"/>
  <c r="K53" i="2"/>
  <c r="K55" i="2" s="1"/>
  <c r="K54" i="2"/>
  <c r="J55" i="2"/>
  <c r="J54" i="2"/>
  <c r="J53" i="2"/>
  <c r="J50" i="2"/>
  <c r="J49" i="2"/>
  <c r="J48" i="2"/>
  <c r="J47" i="2"/>
  <c r="J46" i="2"/>
  <c r="N7" i="7"/>
  <c r="R6" i="7"/>
  <c r="R8" i="7" s="1"/>
  <c r="N16" i="7" s="1"/>
  <c r="R5" i="7"/>
  <c r="N15" i="7"/>
  <c r="N11" i="7"/>
  <c r="I95" i="6" l="1" a="1"/>
  <c r="I95" i="6" s="1"/>
  <c r="I94" i="6"/>
  <c r="I93" i="6"/>
  <c r="G95" i="6" a="1"/>
  <c r="G95" i="6" s="1"/>
  <c r="G94" i="6"/>
  <c r="G93" i="6"/>
  <c r="G85" i="6" a="1"/>
  <c r="G85" i="6" s="1"/>
  <c r="I84" i="6" a="1"/>
  <c r="I84" i="6" s="1"/>
  <c r="I75" i="6" a="1"/>
  <c r="I75" i="6" s="1"/>
  <c r="H76" i="6" a="1"/>
  <c r="H76" i="6" s="1"/>
  <c r="H95" i="6" l="1"/>
  <c r="H94" i="6"/>
  <c r="H93" i="6"/>
  <c r="H67" i="6" a="1"/>
  <c r="H67" i="6" s="1"/>
  <c r="I66" i="6" a="1"/>
  <c r="I66" i="6" s="1"/>
  <c r="H61" i="6"/>
  <c r="G56" i="6"/>
  <c r="G100" i="6" a="1"/>
  <c r="G100" i="6" s="1"/>
  <c r="G23" i="6" a="1"/>
  <c r="G23" i="6" s="1"/>
  <c r="G14" i="6" a="1"/>
  <c r="G14" i="6" s="1"/>
  <c r="G9" i="6"/>
  <c r="G5" i="6" a="1"/>
  <c r="G5" i="6" s="1"/>
  <c r="G4" i="6" a="1"/>
  <c r="G4" i="6" s="1"/>
  <c r="G3" i="6" a="1"/>
  <c r="G3" i="6" s="1"/>
  <c r="A1" i="6"/>
  <c r="K110" i="2"/>
  <c r="L110" i="2" s="1"/>
  <c r="K105" i="2"/>
  <c r="L105" i="2"/>
  <c r="M105" i="2" s="1"/>
  <c r="N105" i="2" s="1"/>
  <c r="K104" i="2" a="1"/>
  <c r="K104" i="2" s="1"/>
  <c r="K106" i="2" s="1"/>
  <c r="K93" i="2" a="1"/>
  <c r="K93" i="2" s="1"/>
  <c r="K89" i="2" a="1"/>
  <c r="K89" i="2" s="1"/>
  <c r="K29" i="1"/>
  <c r="L29" i="1" s="1"/>
  <c r="M29" i="1" s="1"/>
  <c r="N29" i="1" s="1"/>
  <c r="L30" i="1"/>
  <c r="N30" i="1"/>
  <c r="K31" i="1"/>
  <c r="L31" i="1"/>
  <c r="M31" i="1"/>
  <c r="N31" i="1"/>
  <c r="N32" i="1"/>
  <c r="J29" i="1"/>
  <c r="J30" i="1"/>
  <c r="J31" i="1"/>
  <c r="K43" i="2" a="1"/>
  <c r="K43" i="2" s="1"/>
  <c r="L14" i="4"/>
  <c r="M14" i="4" s="1"/>
  <c r="N14" i="4" s="1"/>
  <c r="O14" i="4" s="1"/>
  <c r="K13" i="4"/>
  <c r="L13" i="4" s="1"/>
  <c r="M13" i="4" s="1"/>
  <c r="N13" i="4" s="1"/>
  <c r="O13" i="4" s="1"/>
  <c r="K14" i="4"/>
  <c r="L6" i="4"/>
  <c r="M6" i="4" s="1"/>
  <c r="N6" i="4" s="1"/>
  <c r="O6" i="4" s="1"/>
  <c r="P6" i="4" s="1"/>
  <c r="P8" i="4"/>
  <c r="L4" i="4"/>
  <c r="M4" i="4" s="1"/>
  <c r="K2" i="4" a="1"/>
  <c r="K2" i="4" s="1"/>
  <c r="K24" i="2" a="1"/>
  <c r="K24" i="2" s="1"/>
  <c r="K10" i="2" a="1"/>
  <c r="K10" i="2" s="1"/>
  <c r="K13" i="2" s="1"/>
  <c r="K4" i="2" a="1"/>
  <c r="K4" i="2" s="1"/>
  <c r="K7" i="2" s="1"/>
  <c r="K2" i="2" a="1"/>
  <c r="K2" i="2" s="1"/>
  <c r="K24" i="1"/>
  <c r="L24" i="1" s="1"/>
  <c r="M24" i="1" s="1"/>
  <c r="N24" i="1" s="1"/>
  <c r="K23" i="1"/>
  <c r="L20" i="1"/>
  <c r="M20" i="1"/>
  <c r="N20" i="1"/>
  <c r="J20" i="1"/>
  <c r="J19" i="1"/>
  <c r="J18" i="1"/>
  <c r="J17" i="1"/>
  <c r="J16" i="1"/>
  <c r="J15" i="1"/>
  <c r="K11" i="1"/>
  <c r="L11" i="1" s="1"/>
  <c r="K12" i="1"/>
  <c r="L12" i="1"/>
  <c r="M12" i="1"/>
  <c r="N12" i="1"/>
  <c r="K13" i="1"/>
  <c r="L13" i="1"/>
  <c r="M13" i="1"/>
  <c r="N13" i="1"/>
  <c r="J12" i="1"/>
  <c r="J13" i="1"/>
  <c r="J11" i="1"/>
  <c r="K3" i="1"/>
  <c r="L3" i="1"/>
  <c r="M3" i="1"/>
  <c r="N3" i="1"/>
  <c r="K4" i="1"/>
  <c r="L4" i="1"/>
  <c r="M4" i="1"/>
  <c r="N4" i="1"/>
  <c r="K5" i="1"/>
  <c r="L5" i="1"/>
  <c r="M5" i="1"/>
  <c r="N5" i="1"/>
  <c r="J4" i="1"/>
  <c r="J5" i="1"/>
  <c r="J3" i="1"/>
  <c r="K7" i="1"/>
  <c r="L7" i="1"/>
  <c r="M7" i="1"/>
  <c r="N7" i="1"/>
  <c r="K8" i="1"/>
  <c r="L8" i="1"/>
  <c r="M8" i="1"/>
  <c r="N8" i="1"/>
  <c r="K9" i="1"/>
  <c r="L9" i="1"/>
  <c r="N9" i="1" s="1"/>
  <c r="M9" i="1"/>
  <c r="J8" i="1"/>
  <c r="J9" i="1"/>
  <c r="J7" i="1"/>
  <c r="I7" i="1"/>
  <c r="I8" i="1"/>
  <c r="I9" i="1"/>
  <c r="H8" i="1"/>
  <c r="H9" i="1"/>
  <c r="H7" i="1"/>
  <c r="G1" i="1" a="1"/>
  <c r="G1" i="1" s="1"/>
  <c r="H105" i="2"/>
  <c r="I105" i="2" s="1"/>
  <c r="H31" i="1"/>
  <c r="I31" i="1" s="1"/>
  <c r="C7" i="1" a="1"/>
  <c r="C7" i="1" s="1"/>
  <c r="G117" i="2"/>
  <c r="H116" i="2" s="1"/>
  <c r="F99" i="2" a="1"/>
  <c r="F99" i="2" s="1"/>
  <c r="F96" i="2" a="1"/>
  <c r="F96" i="2" s="1"/>
  <c r="G80" i="2"/>
  <c r="H24" i="1"/>
  <c r="I24" i="1" s="1"/>
  <c r="H79" i="2"/>
  <c r="I79" i="2" s="1"/>
  <c r="L79" i="2" s="1"/>
  <c r="M79" i="2" s="1"/>
  <c r="N79" i="2" s="1"/>
  <c r="O79" i="2" s="1"/>
  <c r="H78" i="2"/>
  <c r="I78" i="2" s="1"/>
  <c r="G9" i="7" s="1"/>
  <c r="N14" i="7" s="1"/>
  <c r="H72" i="2"/>
  <c r="I72" i="2" s="1"/>
  <c r="L72" i="2" s="1"/>
  <c r="M72" i="2" s="1"/>
  <c r="H18" i="4"/>
  <c r="G18" i="4"/>
  <c r="H13" i="4"/>
  <c r="I13" i="4" s="1"/>
  <c r="H14" i="4"/>
  <c r="I14" i="4" s="1"/>
  <c r="H15" i="4"/>
  <c r="I15" i="4"/>
  <c r="L15" i="4" s="1"/>
  <c r="M15" i="4" s="1"/>
  <c r="N15" i="4" s="1"/>
  <c r="O15" i="4" s="1"/>
  <c r="H16" i="4"/>
  <c r="I16" i="4"/>
  <c r="L16" i="4" s="1"/>
  <c r="M16" i="4" s="1"/>
  <c r="N16" i="4" s="1"/>
  <c r="O16" i="4" s="1"/>
  <c r="H12" i="4"/>
  <c r="I12" i="4" s="1"/>
  <c r="K12" i="4" s="1"/>
  <c r="C12" i="4" a="1"/>
  <c r="C12" i="4" s="1"/>
  <c r="G9" i="4"/>
  <c r="H5" i="4"/>
  <c r="I5" i="4" s="1"/>
  <c r="A1" i="4"/>
  <c r="H30" i="1"/>
  <c r="I30" i="1" s="1"/>
  <c r="H57" i="2"/>
  <c r="I57" i="2" s="1"/>
  <c r="L57" i="2" s="1"/>
  <c r="M57" i="2" s="1"/>
  <c r="N57" i="2" s="1"/>
  <c r="O57" i="2" s="1"/>
  <c r="G56" i="2"/>
  <c r="G54" i="2"/>
  <c r="G53" i="2"/>
  <c r="I32" i="1"/>
  <c r="G104" i="2" s="1" a="1"/>
  <c r="H29" i="1"/>
  <c r="I29" i="1" s="1"/>
  <c r="H28" i="1"/>
  <c r="I28" i="1"/>
  <c r="H27" i="1"/>
  <c r="I27" i="1" s="1"/>
  <c r="H23" i="1"/>
  <c r="K112" i="2" l="1" a="1"/>
  <c r="K112" i="2" s="1"/>
  <c r="K111" i="2" a="1"/>
  <c r="K111" i="2" s="1"/>
  <c r="L23" i="1"/>
  <c r="M23" i="1" s="1"/>
  <c r="N23" i="1" s="1"/>
  <c r="L12" i="4"/>
  <c r="M12" i="4" s="1"/>
  <c r="N12" i="4" s="1"/>
  <c r="O12" i="4" s="1"/>
  <c r="N72" i="2"/>
  <c r="M110" i="2"/>
  <c r="M7" i="2"/>
  <c r="L7" i="2"/>
  <c r="K19" i="2" s="1" a="1"/>
  <c r="H56" i="6"/>
  <c r="O13" i="2"/>
  <c r="N7" i="2"/>
  <c r="K66" i="2" s="1" a="1"/>
  <c r="N13" i="2"/>
  <c r="O7" i="2"/>
  <c r="M13" i="2"/>
  <c r="L106" i="2"/>
  <c r="L13" i="2"/>
  <c r="K48" i="2" s="1" a="1"/>
  <c r="H58" i="6"/>
  <c r="G58" i="6"/>
  <c r="O105" i="2"/>
  <c r="O106" i="2" s="1"/>
  <c r="N106" i="2"/>
  <c r="M106" i="2"/>
  <c r="N4" i="4"/>
  <c r="K15" i="1"/>
  <c r="L15" i="1"/>
  <c r="K16" i="1"/>
  <c r="L16" i="1"/>
  <c r="K17" i="1"/>
  <c r="L17" i="1"/>
  <c r="K18" i="1"/>
  <c r="L18" i="1"/>
  <c r="K19" i="1"/>
  <c r="L19" i="1"/>
  <c r="M11" i="1"/>
  <c r="N11" i="1" s="1"/>
  <c r="I23" i="1"/>
  <c r="G39" i="2" s="1" a="1"/>
  <c r="G39" i="2" s="1"/>
  <c r="I18" i="4"/>
  <c r="I9" i="4"/>
  <c r="H9" i="4"/>
  <c r="G104" i="2"/>
  <c r="H106" i="2"/>
  <c r="I106" i="2"/>
  <c r="G111" i="2" a="1"/>
  <c r="G112" i="2" a="1"/>
  <c r="G112" i="2" s="1"/>
  <c r="G55" i="2"/>
  <c r="G58" i="2" s="1"/>
  <c r="G2" i="4" a="1"/>
  <c r="G2" i="4" s="1"/>
  <c r="G43" i="2" a="1"/>
  <c r="G43" i="2" s="1"/>
  <c r="G89" i="2" a="1"/>
  <c r="G89" i="2" s="1"/>
  <c r="H53" i="2"/>
  <c r="I53" i="2" s="1"/>
  <c r="H80" i="2"/>
  <c r="I80" i="2" s="1"/>
  <c r="L80" i="2" s="1"/>
  <c r="M80" i="2" s="1"/>
  <c r="N80" i="2" s="1"/>
  <c r="O80" i="2" s="1"/>
  <c r="G4" i="2" a="1"/>
  <c r="G4" i="2" s="1"/>
  <c r="G7" i="2" s="1"/>
  <c r="H21" i="1"/>
  <c r="H20" i="1"/>
  <c r="I20" i="1" s="1"/>
  <c r="G24" i="2" s="1" a="1"/>
  <c r="G2" i="2" a="1"/>
  <c r="G2" i="2" s="1"/>
  <c r="D4" i="2" a="1"/>
  <c r="D4" i="2" s="1"/>
  <c r="D10" i="2" s="1" a="1"/>
  <c r="D10" i="2" s="1"/>
  <c r="C11" i="1" a="1"/>
  <c r="C11" i="1" s="1"/>
  <c r="A1" i="2"/>
  <c r="K39" i="2" l="1" a="1"/>
  <c r="K39" i="2" s="1"/>
  <c r="G8" i="7"/>
  <c r="N13" i="7" s="1"/>
  <c r="G8" i="6"/>
  <c r="I8" i="6" s="1"/>
  <c r="H55" i="6"/>
  <c r="G55" i="6"/>
  <c r="I22" i="4"/>
  <c r="H21" i="4"/>
  <c r="H22" i="4"/>
  <c r="G31" i="2" a="1"/>
  <c r="G31" i="2" s="1"/>
  <c r="K19" i="2"/>
  <c r="K48" i="2"/>
  <c r="L97" i="2" s="1"/>
  <c r="M97" i="2"/>
  <c r="N97" i="2"/>
  <c r="O97" i="2"/>
  <c r="K66" i="2"/>
  <c r="L100" i="2" s="1"/>
  <c r="M100" i="2"/>
  <c r="N100" i="2"/>
  <c r="O100" i="2"/>
  <c r="K47" i="2" a="1"/>
  <c r="N110" i="2"/>
  <c r="K49" i="2" a="1"/>
  <c r="K65" i="2" a="1"/>
  <c r="L53" i="2"/>
  <c r="O72" i="2"/>
  <c r="L78" i="2"/>
  <c r="K15" i="2" a="1"/>
  <c r="K15" i="2" s="1"/>
  <c r="O4" i="4"/>
  <c r="M19" i="1"/>
  <c r="N19" i="1" s="1"/>
  <c r="M18" i="1"/>
  <c r="N18" i="1" s="1"/>
  <c r="M17" i="1"/>
  <c r="N17" i="1" s="1"/>
  <c r="M16" i="1"/>
  <c r="N16" i="1" s="1"/>
  <c r="M15" i="1"/>
  <c r="N15" i="1" s="1"/>
  <c r="H109" i="2"/>
  <c r="H113" i="2" s="1"/>
  <c r="G21" i="4"/>
  <c r="I109" i="2"/>
  <c r="I113" i="2" s="1"/>
  <c r="G24" i="2"/>
  <c r="H54" i="2"/>
  <c r="I21" i="1"/>
  <c r="G94" i="2" s="1" a="1"/>
  <c r="G94" i="2" s="1"/>
  <c r="G93" i="2" a="1"/>
  <c r="G93" i="2" s="1"/>
  <c r="G111" i="2"/>
  <c r="G10" i="2" a="1"/>
  <c r="I7" i="2"/>
  <c r="H7" i="2"/>
  <c r="G47" i="2" s="1" a="1"/>
  <c r="G47" i="2" s="1"/>
  <c r="K49" i="2" l="1"/>
  <c r="L98" i="2"/>
  <c r="M98" i="2"/>
  <c r="N98" i="2"/>
  <c r="O98" i="2"/>
  <c r="M53" i="2"/>
  <c r="O110" i="2"/>
  <c r="K65" i="2"/>
  <c r="O99" i="2"/>
  <c r="M99" i="2"/>
  <c r="N99" i="2"/>
  <c r="K16" i="2" a="1"/>
  <c r="K16" i="2" s="1"/>
  <c r="K47" i="2"/>
  <c r="K96" i="2" s="1"/>
  <c r="O96" i="2"/>
  <c r="K21" i="6" s="1"/>
  <c r="N96" i="2"/>
  <c r="M96" i="2"/>
  <c r="I21" i="6" s="1"/>
  <c r="M78" i="2"/>
  <c r="P4" i="4"/>
  <c r="G67" i="2" a="1"/>
  <c r="G67" i="2" s="1"/>
  <c r="G22" i="4"/>
  <c r="G71" i="2" s="1" a="1"/>
  <c r="I54" i="2"/>
  <c r="H55" i="2"/>
  <c r="G25" i="2" a="1"/>
  <c r="G66" i="2" a="1"/>
  <c r="G66" i="2" s="1"/>
  <c r="G49" i="2" a="1"/>
  <c r="G49" i="2" s="1"/>
  <c r="G19" i="2" a="1"/>
  <c r="G10" i="2"/>
  <c r="G13" i="2" s="1"/>
  <c r="H13" i="2"/>
  <c r="I13" i="2"/>
  <c r="N53" i="2" l="1"/>
  <c r="K100" i="2"/>
  <c r="N78" i="2"/>
  <c r="I55" i="2"/>
  <c r="L96" i="2"/>
  <c r="H21" i="6" s="1"/>
  <c r="L99" i="2"/>
  <c r="J21" i="6"/>
  <c r="K98" i="2"/>
  <c r="G71" i="2"/>
  <c r="G73" i="2" s="1"/>
  <c r="I73" i="2"/>
  <c r="H73" i="2"/>
  <c r="G25" i="2"/>
  <c r="H56" i="2"/>
  <c r="I56" i="2" s="1"/>
  <c r="G65" i="2" a="1"/>
  <c r="I99" i="2" s="1" a="1"/>
  <c r="I99" i="2" s="1"/>
  <c r="G48" i="2" a="1"/>
  <c r="G19" i="2"/>
  <c r="H26" i="2"/>
  <c r="I26" i="2"/>
  <c r="G15" i="2" a="1"/>
  <c r="G15" i="2" s="1"/>
  <c r="O78" i="2" l="1"/>
  <c r="K99" i="2"/>
  <c r="I58" i="2"/>
  <c r="L54" i="2"/>
  <c r="G26" i="2"/>
  <c r="G48" i="2"/>
  <c r="K97" i="2"/>
  <c r="G21" i="6" s="1"/>
  <c r="O53" i="2"/>
  <c r="H58" i="2"/>
  <c r="I96" i="2" a="1"/>
  <c r="I96" i="2" s="1"/>
  <c r="H96" i="2" a="1"/>
  <c r="H96" i="2" s="1"/>
  <c r="G65" i="2"/>
  <c r="G68" i="2" s="1"/>
  <c r="H68" i="2"/>
  <c r="I68" i="2"/>
  <c r="G16" i="2" a="1"/>
  <c r="G16" i="2" s="1"/>
  <c r="G28" i="2" a="1"/>
  <c r="M54" i="2" l="1"/>
  <c r="L55" i="2"/>
  <c r="G28" i="2"/>
  <c r="G3" i="7"/>
  <c r="H99" i="2" a="1"/>
  <c r="H99" i="2" s="1"/>
  <c r="G75" i="2" a="1"/>
  <c r="G75" i="2" s="1"/>
  <c r="G29" i="2" a="1"/>
  <c r="G29" i="2" s="1"/>
  <c r="G33" i="2" a="1"/>
  <c r="G33" i="2" s="1"/>
  <c r="G17" i="7" l="1"/>
  <c r="G5" i="7"/>
  <c r="N54" i="2"/>
  <c r="M55" i="2"/>
  <c r="G35" i="2" a="1"/>
  <c r="G35" i="2" s="1"/>
  <c r="G37" i="2" s="1" a="1"/>
  <c r="G37" i="2" s="1"/>
  <c r="O54" i="2" l="1"/>
  <c r="O55" i="2" s="1"/>
  <c r="N55" i="2"/>
  <c r="G40" i="2" a="1"/>
  <c r="G40" i="2" s="1"/>
  <c r="G81" i="2" s="1"/>
  <c r="G91" i="2" a="1"/>
  <c r="I101" i="2" s="1"/>
  <c r="G91" i="2" l="1"/>
  <c r="H101" i="2"/>
  <c r="H115" i="2" s="1" a="1"/>
  <c r="H115" i="2" s="1"/>
  <c r="H117" i="2" s="1"/>
  <c r="I116" i="2" s="1"/>
  <c r="H81" i="2"/>
  <c r="G82" i="2"/>
  <c r="I117" i="2" l="1"/>
  <c r="I81" i="2"/>
  <c r="H82" i="2"/>
  <c r="I82" i="2" l="1"/>
  <c r="G46" i="2" a="1"/>
  <c r="G46" i="2" l="1"/>
  <c r="G50" i="2" s="1"/>
  <c r="G11" i="7"/>
  <c r="G12" i="7" s="1"/>
  <c r="N4" i="7"/>
  <c r="G23" i="7"/>
  <c r="G10" i="6"/>
  <c r="G84" i="2" a="1"/>
  <c r="G84" i="2" s="1"/>
  <c r="H50" i="2"/>
  <c r="I50" i="2"/>
  <c r="N8" i="7" l="1"/>
  <c r="O4" i="7" s="1" a="1"/>
  <c r="O4" i="7" s="1"/>
  <c r="H10" i="6"/>
  <c r="G11" i="6"/>
  <c r="G22" i="7"/>
  <c r="G24" i="7" s="1"/>
  <c r="N12" i="7"/>
  <c r="N17" i="7" s="1"/>
  <c r="O11" i="7" s="1" a="1"/>
  <c r="O11" i="7" s="1"/>
  <c r="G13" i="7"/>
  <c r="G60" i="2" a="1"/>
  <c r="G60" i="2" s="1"/>
  <c r="G86" i="2" s="1" a="1"/>
  <c r="G86" i="2" s="1"/>
  <c r="J21" i="1" l="1"/>
  <c r="J56" i="2"/>
  <c r="J58" i="2" s="1"/>
  <c r="J60" i="2" s="1"/>
  <c r="H8" i="6"/>
  <c r="H9" i="6"/>
  <c r="P4" i="7" a="1"/>
  <c r="P4" i="7" s="1"/>
  <c r="K21" i="1" l="1"/>
  <c r="G12" i="6"/>
  <c r="N19" i="7" a="1"/>
  <c r="N19" i="7" s="1"/>
  <c r="L21" i="1" l="1"/>
  <c r="H25" i="6"/>
  <c r="I25" i="6"/>
  <c r="J25" i="6"/>
  <c r="K25" i="6"/>
  <c r="G25" i="6"/>
  <c r="M21" i="1" l="1"/>
  <c r="N21" i="1" l="1"/>
  <c r="K34" i="4" a="1"/>
  <c r="K34" i="4" s="1"/>
  <c r="G16" i="6" l="1" a="1"/>
  <c r="G16" i="6" s="1"/>
  <c r="G20" i="6" s="1" a="1"/>
  <c r="G20" i="6" s="1"/>
  <c r="K25" i="2" a="1"/>
  <c r="K94" i="2" a="1"/>
  <c r="K94" i="2" s="1"/>
  <c r="M26" i="2" l="1"/>
  <c r="O26" i="2"/>
  <c r="K25" i="2"/>
  <c r="L26" i="2"/>
  <c r="N26" i="2"/>
  <c r="K56" i="2" l="1"/>
  <c r="K26" i="2"/>
  <c r="K28" i="2" s="1" a="1"/>
  <c r="K28" i="2" s="1"/>
  <c r="G17" i="6" l="1" a="1"/>
  <c r="K29" i="2" a="1"/>
  <c r="K29" i="2" s="1"/>
  <c r="K58" i="2"/>
  <c r="L56" i="2"/>
  <c r="G17" i="6" l="1"/>
  <c r="G18" i="6" a="1"/>
  <c r="G18" i="6" s="1"/>
  <c r="G19" i="6" s="1" a="1"/>
  <c r="G15" i="6" a="1"/>
  <c r="M56" i="2"/>
  <c r="L58" i="2"/>
  <c r="K22" i="6" l="1"/>
  <c r="I22" i="6"/>
  <c r="J22" i="6"/>
  <c r="G19" i="6"/>
  <c r="G22" i="6" s="1"/>
  <c r="H22" i="6"/>
  <c r="G15" i="6"/>
  <c r="H85" i="6" a="1"/>
  <c r="H85" i="6" s="1"/>
  <c r="G43" i="6"/>
  <c r="G45" i="6" s="1"/>
  <c r="G47" i="6" s="1"/>
  <c r="M58" i="2"/>
  <c r="N56" i="2"/>
  <c r="G24" i="6" l="1" a="1"/>
  <c r="G24" i="6" s="1"/>
  <c r="G26" i="6" s="1" a="1"/>
  <c r="G26" i="6" s="1"/>
  <c r="G27" i="6" s="1"/>
  <c r="G37" i="6" s="1"/>
  <c r="O56" i="2"/>
  <c r="O58" i="2" s="1"/>
  <c r="N58" i="2"/>
  <c r="G48" i="6" l="1"/>
  <c r="G49" i="6" s="1"/>
  <c r="H54" i="6" s="1"/>
  <c r="H57" i="6" s="1"/>
  <c r="H59" i="6" s="1"/>
  <c r="H84" i="6" s="1"/>
  <c r="G22" i="8" a="1"/>
  <c r="G22" i="8" s="1"/>
  <c r="G31" i="6"/>
  <c r="G33" i="6" s="1"/>
  <c r="G34" i="6" s="1"/>
  <c r="G36" i="6" s="1"/>
  <c r="G38" i="6" s="1"/>
  <c r="G54" i="6" s="1"/>
  <c r="G57" i="6" s="1"/>
  <c r="G59" i="6" s="1"/>
  <c r="G50" i="6"/>
  <c r="H75" i="6" l="1"/>
  <c r="G39" i="6"/>
  <c r="H66" i="6"/>
  <c r="G62" i="6"/>
  <c r="H96" i="6" l="1"/>
  <c r="G96" i="6"/>
  <c r="I96" i="6"/>
  <c r="N84" i="6"/>
  <c r="K7" i="4"/>
  <c r="L7" i="4"/>
  <c r="M7" i="4"/>
  <c r="N7" i="4"/>
  <c r="O7" i="4"/>
  <c r="P7" i="4"/>
  <c r="K9" i="4"/>
  <c r="L9" i="4"/>
  <c r="M9" i="4"/>
  <c r="N9" i="4"/>
  <c r="O9" i="4"/>
  <c r="P9" i="4"/>
  <c r="K18" i="4"/>
  <c r="L18" i="4"/>
  <c r="M18" i="4"/>
  <c r="N18" i="4"/>
  <c r="O18" i="4"/>
  <c r="J21" i="4"/>
  <c r="K21" i="4"/>
  <c r="L21" i="4"/>
  <c r="M21" i="4"/>
  <c r="N21" i="4"/>
  <c r="O21" i="4"/>
  <c r="J22" i="4"/>
  <c r="K22" i="4"/>
  <c r="L22" i="4"/>
  <c r="M22" i="4"/>
  <c r="N22" i="4"/>
  <c r="O22" i="4"/>
  <c r="K27" i="4" a="1"/>
  <c r="K27" i="4"/>
  <c r="K31" i="4" a="1"/>
  <c r="K31" i="4"/>
  <c r="K38" i="4"/>
  <c r="L38" i="4"/>
  <c r="M38" i="4"/>
  <c r="N38" i="4"/>
  <c r="O38" i="4"/>
  <c r="K40" i="4" a="1"/>
  <c r="K40" i="4"/>
  <c r="K42" i="4" a="1"/>
  <c r="K42" i="4"/>
  <c r="K43" i="4"/>
  <c r="L43" i="4"/>
  <c r="M43" i="4"/>
  <c r="N43" i="4"/>
  <c r="O43" i="4"/>
  <c r="K45" i="4" a="1"/>
  <c r="K45" i="4"/>
  <c r="K46" i="4" a="1"/>
  <c r="K46" i="4"/>
  <c r="K31" i="2" a="1"/>
  <c r="K31" i="2"/>
  <c r="K33" i="2" a="1"/>
  <c r="K33" i="2"/>
  <c r="K35" i="2" a="1"/>
  <c r="K35" i="2"/>
  <c r="K37" i="2" a="1"/>
  <c r="K37" i="2"/>
  <c r="K40" i="2" a="1"/>
  <c r="K40" i="2"/>
  <c r="K46" i="2" a="1"/>
  <c r="K46" i="2"/>
  <c r="K50" i="2"/>
  <c r="L50" i="2"/>
  <c r="M50" i="2"/>
  <c r="N50" i="2"/>
  <c r="O50" i="2"/>
  <c r="K60" i="2" a="1"/>
  <c r="K60" i="2"/>
  <c r="J67" i="2"/>
  <c r="K67" i="2" a="1"/>
  <c r="K67" i="2"/>
  <c r="J68" i="2"/>
  <c r="K68" i="2"/>
  <c r="L68" i="2"/>
  <c r="M68" i="2"/>
  <c r="N68" i="2"/>
  <c r="O68" i="2"/>
  <c r="J71" i="2"/>
  <c r="K71" i="2" a="1"/>
  <c r="K71" i="2"/>
  <c r="J73" i="2"/>
  <c r="K73" i="2"/>
  <c r="L73" i="2"/>
  <c r="M73" i="2"/>
  <c r="N73" i="2"/>
  <c r="O73" i="2"/>
  <c r="J75" i="2"/>
  <c r="K75" i="2" a="1"/>
  <c r="K75" i="2"/>
  <c r="K81" i="2"/>
  <c r="L81" i="2"/>
  <c r="M81" i="2"/>
  <c r="N81" i="2"/>
  <c r="O81" i="2"/>
  <c r="K82" i="2"/>
  <c r="L82" i="2"/>
  <c r="M82" i="2"/>
  <c r="N82" i="2"/>
  <c r="O82" i="2"/>
  <c r="J84" i="2"/>
  <c r="K84" i="2" a="1"/>
  <c r="K84" i="2"/>
  <c r="J86" i="2"/>
  <c r="K86" i="2" a="1"/>
  <c r="K86" i="2"/>
  <c r="K91" i="2" a="1"/>
  <c r="K91" i="2"/>
  <c r="K101" i="2"/>
  <c r="L101" i="2"/>
  <c r="M101" i="2"/>
  <c r="N101" i="2"/>
  <c r="O101" i="2"/>
  <c r="K109" i="2"/>
  <c r="L109" i="2"/>
  <c r="M109" i="2"/>
  <c r="N109" i="2"/>
  <c r="O109" i="2"/>
  <c r="K113" i="2"/>
  <c r="L113" i="2"/>
  <c r="M113" i="2"/>
  <c r="N113" i="2"/>
  <c r="O113" i="2"/>
  <c r="K115" i="2" a="1"/>
  <c r="K115" i="2"/>
  <c r="L116" i="2"/>
  <c r="M116" i="2"/>
  <c r="N116" i="2"/>
  <c r="O116" i="2"/>
  <c r="K117" i="2"/>
  <c r="L117" i="2"/>
  <c r="M117" i="2"/>
  <c r="N117" i="2"/>
  <c r="O117" i="2"/>
  <c r="G4" i="8" a="1"/>
  <c r="G4" i="8"/>
  <c r="G6" i="8" a="1"/>
  <c r="G6" i="8"/>
  <c r="G7" i="8"/>
  <c r="H7" i="8"/>
  <c r="I7" i="8"/>
  <c r="J7" i="8"/>
  <c r="K7" i="8"/>
  <c r="G9" i="8" a="1"/>
  <c r="G9" i="8"/>
  <c r="G16" i="8"/>
  <c r="H16" i="8"/>
  <c r="I16" i="8"/>
  <c r="J16" i="8"/>
  <c r="K16" i="8"/>
  <c r="G18" i="8"/>
  <c r="H18" i="8"/>
  <c r="I18" i="8"/>
  <c r="J18" i="8"/>
  <c r="K18" i="8"/>
  <c r="G19" i="8"/>
  <c r="H19" i="8"/>
  <c r="I19" i="8"/>
  <c r="J19" i="8"/>
  <c r="K19" i="8"/>
  <c r="I35" i="8"/>
  <c r="J35" i="8"/>
  <c r="K35" i="8" a="1"/>
  <c r="K35" i="8"/>
  <c r="I36" i="8"/>
  <c r="J36" i="8"/>
  <c r="I37" i="8"/>
  <c r="J37" i="8"/>
  <c r="I38" i="8"/>
  <c r="J38" i="8"/>
  <c r="H43" i="8"/>
  <c r="I43" i="8"/>
  <c r="T43" i="8" a="1"/>
  <c r="T43" i="8"/>
  <c r="H44" i="8"/>
  <c r="I44" i="8"/>
  <c r="H45" i="8"/>
  <c r="I45" i="8"/>
  <c r="H46" i="8"/>
  <c r="I46" i="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<sst xmlns="http://schemas.openxmlformats.org/spreadsheetml/2006/main" count="315" uniqueCount="247">
  <si>
    <t>Legends Inc.</t>
  </si>
  <si>
    <t>Revenues</t>
  </si>
  <si>
    <t>Foot Solutions</t>
  </si>
  <si>
    <t>Greeting Fulfillments</t>
  </si>
  <si>
    <t>Legendwear</t>
  </si>
  <si>
    <t>% Change</t>
  </si>
  <si>
    <t>Cost of Goods Sold</t>
  </si>
  <si>
    <t>Operating Expenses (aka fixed costs)</t>
  </si>
  <si>
    <t>Rent</t>
  </si>
  <si>
    <t>Utilities</t>
  </si>
  <si>
    <t>Phone</t>
  </si>
  <si>
    <t>Advertising</t>
  </si>
  <si>
    <t>Salaries</t>
  </si>
  <si>
    <t>Depreciation Expense</t>
  </si>
  <si>
    <t>Amortization Expense</t>
  </si>
  <si>
    <t>Tax Rate</t>
  </si>
  <si>
    <t>Cash Dividends</t>
  </si>
  <si>
    <t>Stock Buybacks</t>
  </si>
  <si>
    <t>Balance Sheet</t>
  </si>
  <si>
    <t>Working Capital</t>
  </si>
  <si>
    <t>Accounts Receivable (days of Sales)</t>
  </si>
  <si>
    <t>Inventory (days of COGS)</t>
  </si>
  <si>
    <t>Prepaid Expenses</t>
  </si>
  <si>
    <t>Accounts Payable (days COGS)</t>
  </si>
  <si>
    <t>Accrued Liabilities</t>
  </si>
  <si>
    <t>Capital Expenditure (CAPEX)</t>
  </si>
  <si>
    <t>Starting Gross PP&amp;E</t>
  </si>
  <si>
    <t>Starting Accumulated Depreciation</t>
  </si>
  <si>
    <t>Starting.Goodwill</t>
  </si>
  <si>
    <t>Starting Cash</t>
  </si>
  <si>
    <t>Income Statement</t>
  </si>
  <si>
    <t>Total Revenues</t>
  </si>
  <si>
    <t>Total Cost of Goods Sold</t>
  </si>
  <si>
    <t>Gross Margin</t>
  </si>
  <si>
    <t>% Revenues</t>
  </si>
  <si>
    <t>Selling, General and Administrative Expenses (SG&amp;A)(aka Operating Expenses)</t>
  </si>
  <si>
    <t>Total SG&amp;A Expenses</t>
  </si>
  <si>
    <t>Earnings Before Interest and Taxes (EBIT)</t>
  </si>
  <si>
    <t>Interest Expense</t>
  </si>
  <si>
    <t>Earnings Before Taxes (EBT)</t>
  </si>
  <si>
    <t>Income Tax Expense</t>
  </si>
  <si>
    <t>Net Income</t>
  </si>
  <si>
    <t>Less: Cash Dividends</t>
  </si>
  <si>
    <t>Change in Retained Earnings</t>
  </si>
  <si>
    <t>Assets</t>
  </si>
  <si>
    <t>Short Term Assets</t>
  </si>
  <si>
    <t>Cash</t>
  </si>
  <si>
    <t>Accounts Receivable</t>
  </si>
  <si>
    <t>Inventory</t>
  </si>
  <si>
    <t>Total Short Term Assets</t>
  </si>
  <si>
    <t>Long Term Assets</t>
  </si>
  <si>
    <t>Gross Property, Plant &amp; Equipment</t>
  </si>
  <si>
    <t>less: Accumulated Depreciation</t>
  </si>
  <si>
    <t>Net PP&amp;E</t>
  </si>
  <si>
    <t>Goodwill</t>
  </si>
  <si>
    <t>Intellectual Property (IP)</t>
  </si>
  <si>
    <t>Total Long Term Assets</t>
  </si>
  <si>
    <t>Total Assets</t>
  </si>
  <si>
    <t>Capital (Liabilities and Shareholder Equity)</t>
  </si>
  <si>
    <t>Liabilities</t>
  </si>
  <si>
    <t>Short Term Liabilities</t>
  </si>
  <si>
    <t>Accounts Payable</t>
  </si>
  <si>
    <t>Short Term Portion of LT Debt</t>
  </si>
  <si>
    <t>Total Short Term Liabilities</t>
  </si>
  <si>
    <t>Long Term Liabilities</t>
  </si>
  <si>
    <t>Long Term Debt</t>
  </si>
  <si>
    <t>Capitalized Leases</t>
  </si>
  <si>
    <t>Total Long Term Liabilities</t>
  </si>
  <si>
    <t>Total Liabililities</t>
  </si>
  <si>
    <t>Shareholder Equity</t>
  </si>
  <si>
    <t>Preferred Stock</t>
  </si>
  <si>
    <t>Common Stock</t>
  </si>
  <si>
    <t>Treasury Stock</t>
  </si>
  <si>
    <t>Retained Earnings</t>
  </si>
  <si>
    <t>Total Shareholders Equity</t>
  </si>
  <si>
    <t>Total Liabilities &amp; Equity</t>
  </si>
  <si>
    <t>Checksum</t>
  </si>
  <si>
    <t>Statement of Changes in Cash</t>
  </si>
  <si>
    <t>Cash from Operations</t>
  </si>
  <si>
    <t>Add Back Non Cash Items</t>
  </si>
  <si>
    <t>Change in Working Capital</t>
  </si>
  <si>
    <t>Total Cash from Operations</t>
  </si>
  <si>
    <t>Cash from Investment</t>
  </si>
  <si>
    <t>CAPEX</t>
  </si>
  <si>
    <t>Loss/Gain on Disposal of Assets</t>
  </si>
  <si>
    <t>Total Cash from Investment</t>
  </si>
  <si>
    <t>Cash from Financing</t>
  </si>
  <si>
    <t>Borrowing/(repayment) of debt</t>
  </si>
  <si>
    <t>Issuance of Shares</t>
  </si>
  <si>
    <t>Cash Dividend</t>
  </si>
  <si>
    <t>Total Cash From Financing</t>
  </si>
  <si>
    <t>Net Change in Cash</t>
  </si>
  <si>
    <t>Starting Cash Balance</t>
  </si>
  <si>
    <t>Ending Cash Balance</t>
  </si>
  <si>
    <t>Debt</t>
  </si>
  <si>
    <t>Huntington</t>
  </si>
  <si>
    <t>PNC</t>
  </si>
  <si>
    <t>Keybank</t>
  </si>
  <si>
    <t>Total Debt</t>
  </si>
  <si>
    <t>DCF.Debt</t>
  </si>
  <si>
    <t>Interest Rate</t>
  </si>
  <si>
    <t>Calculate Current Portion of Long Term Debt</t>
  </si>
  <si>
    <t>Current Portion</t>
  </si>
  <si>
    <t>General Assumptions</t>
  </si>
  <si>
    <t>Share Price</t>
  </si>
  <si>
    <t>Shares Outstanding</t>
  </si>
  <si>
    <t>Market Capitalization</t>
  </si>
  <si>
    <t>Weighted Average Cost of Capital</t>
  </si>
  <si>
    <t>Amount</t>
  </si>
  <si>
    <t>Weight</t>
  </si>
  <si>
    <t>Cost</t>
  </si>
  <si>
    <t>Common Stock (aka Equity)</t>
  </si>
  <si>
    <t>WACC</t>
  </si>
  <si>
    <t>Free Cash Flow Buildup</t>
  </si>
  <si>
    <t>EBITDA</t>
  </si>
  <si>
    <t>Less: Depreciation and Amort</t>
  </si>
  <si>
    <t>EBIT</t>
  </si>
  <si>
    <t>Less: Income Tax</t>
  </si>
  <si>
    <t>EBIAT (aka NOPAT - Net Op Profit After Tax)</t>
  </si>
  <si>
    <t>Add back: Depr &amp; Amort</t>
  </si>
  <si>
    <t>Unlevered Cash from Operations</t>
  </si>
  <si>
    <t>Less: CAPEX</t>
  </si>
  <si>
    <t>Unlevered Free Cash Flow</t>
  </si>
  <si>
    <t>Discount Factor</t>
  </si>
  <si>
    <t>Discounted Free Cash Flow</t>
  </si>
  <si>
    <t>Net Present Value</t>
  </si>
  <si>
    <t>Terminal Enterprise Valuations</t>
  </si>
  <si>
    <t>Perpetuity Approach</t>
  </si>
  <si>
    <t>Unlevered FCF Year 5</t>
  </si>
  <si>
    <t>Long Term Growth Rate</t>
  </si>
  <si>
    <t>Forecast Year 6 FCF</t>
  </si>
  <si>
    <t>Terminal Enterprise Value</t>
  </si>
  <si>
    <t>NPV Calculation</t>
  </si>
  <si>
    <t>PV of the Terminal Value</t>
  </si>
  <si>
    <t>PV of the Free Cash Flows</t>
  </si>
  <si>
    <t>Total Enterprise Value</t>
  </si>
  <si>
    <t>Implied Terminal Value Exit Multiplier</t>
  </si>
  <si>
    <t>Exit EBITDA Multiple Approach</t>
  </si>
  <si>
    <t>Terminal Value</t>
  </si>
  <si>
    <t>EBITDA Year5</t>
  </si>
  <si>
    <t>Expected Exit Multiplier</t>
  </si>
  <si>
    <t>Enterprise Value</t>
  </si>
  <si>
    <t>Implied Perpetual Growth Rate</t>
  </si>
  <si>
    <t>Fair Value Per Share</t>
  </si>
  <si>
    <t>Approach</t>
  </si>
  <si>
    <t>Perpetuity</t>
  </si>
  <si>
    <t>Multiple</t>
  </si>
  <si>
    <t>Valuation</t>
  </si>
  <si>
    <t>less: Debt</t>
  </si>
  <si>
    <t>less: Pref Shares</t>
  </si>
  <si>
    <t>Net Residual Value</t>
  </si>
  <si>
    <t>Diluted Shares</t>
  </si>
  <si>
    <t>Shares.Outstanding</t>
  </si>
  <si>
    <t>Equity Value / Share</t>
  </si>
  <si>
    <t>GF Hybrid Integrated Model</t>
  </si>
  <si>
    <t>Weights Based on Simulation AI Model</t>
  </si>
  <si>
    <t>GFHIM Valuation</t>
  </si>
  <si>
    <t>Equity Value Per Share</t>
  </si>
  <si>
    <t>Long-Term Growth Rate</t>
  </si>
  <si>
    <t>EBITDA Multiple</t>
  </si>
  <si>
    <t>EBITDA % of Forecast</t>
  </si>
  <si>
    <t>table.gordon</t>
  </si>
  <si>
    <t>table.multiple</t>
  </si>
  <si>
    <t>Football Field Calculation</t>
  </si>
  <si>
    <t>DCF Value 8X - 12X Multiplier</t>
  </si>
  <si>
    <t>DCF Value 2% - 6% Growth Rate</t>
  </si>
  <si>
    <t>52 Week Market High/Low</t>
  </si>
  <si>
    <t>Low</t>
  </si>
  <si>
    <t>Difference</t>
  </si>
  <si>
    <t>High</t>
  </si>
  <si>
    <t>Transaction Summary for Leveraged Buyout</t>
  </si>
  <si>
    <t>Market Multiple</t>
  </si>
  <si>
    <t>Enterprise Value (AKA how much for the assests)</t>
  </si>
  <si>
    <t>Capitalization</t>
  </si>
  <si>
    <t>Less</t>
  </si>
  <si>
    <t>Add</t>
  </si>
  <si>
    <t>Net Offer Value to Shareholders</t>
  </si>
  <si>
    <t>Offer Per Share</t>
  </si>
  <si>
    <t>Other Assumptions</t>
  </si>
  <si>
    <t>Revolver EBITDA Borrowing Base Multiplier</t>
  </si>
  <si>
    <t>Revolver Availability @ Close</t>
  </si>
  <si>
    <t>Minimum Cash Balance</t>
  </si>
  <si>
    <t>Fee: Mergers &amp; Acquisition</t>
  </si>
  <si>
    <t>Goodwill Calculation</t>
  </si>
  <si>
    <t>Purchase of Equity</t>
  </si>
  <si>
    <t>Less: Book Value of Assets</t>
  </si>
  <si>
    <t>Sources and Uses of Deal Cash</t>
  </si>
  <si>
    <t>Sources</t>
  </si>
  <si>
    <t>Balance Sheet Cash</t>
  </si>
  <si>
    <t>Revolver (Senior Deb)</t>
  </si>
  <si>
    <t>Subordinated (aka junk bonds)</t>
  </si>
  <si>
    <t>Sponsor Equity (Gecko Fund)</t>
  </si>
  <si>
    <t>$</t>
  </si>
  <si>
    <t>%</t>
  </si>
  <si>
    <t>xEBITDA</t>
  </si>
  <si>
    <t>Fee %</t>
  </si>
  <si>
    <t>Fee $</t>
  </si>
  <si>
    <t>Total Sources</t>
  </si>
  <si>
    <t>Uses</t>
  </si>
  <si>
    <t>Retire Debt</t>
  </si>
  <si>
    <t>Retire Preffered Shares</t>
  </si>
  <si>
    <t>M&amp;A Fee</t>
  </si>
  <si>
    <t>Debt Placement Fee</t>
  </si>
  <si>
    <t>Total Uses</t>
  </si>
  <si>
    <t>Buyout</t>
  </si>
  <si>
    <t>Revolver</t>
  </si>
  <si>
    <t>Subordinated Debt</t>
  </si>
  <si>
    <t>Revolver Paydown</t>
  </si>
  <si>
    <t>Paydown Amounts</t>
  </si>
  <si>
    <t>Mandatory</t>
  </si>
  <si>
    <t>Variable</t>
  </si>
  <si>
    <t>Revolver Discretionary Paydown Caclulation</t>
  </si>
  <si>
    <t>Levered Free Cash Flow</t>
  </si>
  <si>
    <t>Add Back:</t>
  </si>
  <si>
    <t>Depreciation</t>
  </si>
  <si>
    <t>Amortization</t>
  </si>
  <si>
    <t>Non-Cash Interest (aka PIK Debt)</t>
  </si>
  <si>
    <t>Beginning Cash Balance</t>
  </si>
  <si>
    <t>Less: Minimum Cash Balance</t>
  </si>
  <si>
    <t>Plus: Levereed Free Cash Flow</t>
  </si>
  <si>
    <t>Net Levered Free Cashlow</t>
  </si>
  <si>
    <t>LFCF Before Scheduled Paydown</t>
  </si>
  <si>
    <t>Less: Scheduled Paydown</t>
  </si>
  <si>
    <t>LFCD After Paydown</t>
  </si>
  <si>
    <t>Less: Variable Paydown</t>
  </si>
  <si>
    <t>LBO Returns Calculation</t>
  </si>
  <si>
    <t>Capital Stack</t>
  </si>
  <si>
    <t>Gecko Fund Equity</t>
  </si>
  <si>
    <t>Total Capital</t>
  </si>
  <si>
    <t>Weights</t>
  </si>
  <si>
    <t>After-Tax Cost of Each Capital Source</t>
  </si>
  <si>
    <t>Discount Factors</t>
  </si>
  <si>
    <t>1-Year Factors</t>
  </si>
  <si>
    <t>Cumulative Discount</t>
  </si>
  <si>
    <t>Post LBO Free Cash Flow Buildup</t>
  </si>
  <si>
    <t>Equity Calculations</t>
  </si>
  <si>
    <t>Exit Multiplier</t>
  </si>
  <si>
    <t>Plus: Cash</t>
  </si>
  <si>
    <t>Less: Debt</t>
  </si>
  <si>
    <t>Redidual Value</t>
  </si>
  <si>
    <t xml:space="preserve"> Enterprise Value</t>
  </si>
  <si>
    <t>Terminal Values</t>
  </si>
  <si>
    <t>Gecko's Performance</t>
  </si>
  <si>
    <t>Gecko Fund lll initial investment</t>
  </si>
  <si>
    <t>NPV</t>
  </si>
  <si>
    <t>IRR</t>
  </si>
  <si>
    <t>Undiscounted FCF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</si>
</sst>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43" formatCode="_(* #,##0.00_);_(* \(#,##0.00\);_(* &quot;-&quot;??_);_(@_)"/>
    <numFmt numFmtId="164" formatCode="0&quot;H&quot;"/>
    <numFmt numFmtId="165" formatCode="_(* #,##0_);_(* \(#,##0\);_(* &quot;-&quot;??_);_(@_)"/>
    <numFmt numFmtId="166" formatCode="0.0%"/>
    <numFmt numFmtId="167" formatCode="_(&quot;$&quot;* #,##0_);_(&quot;$&quot;* \(#,##0\);_(&quot;$&quot;* &quot;-&quot;??_);_(@_)"/>
    <numFmt numFmtId="168" formatCode="0&quot;F&quot;"/>
    <numFmt numFmtId="169" formatCode="_([$$-409]* #,##0.00_);_([$$-409]* \(#,##0.00\);_([$$-409]* &quot;-&quot;??_);_(@_)"/>
    <numFmt numFmtId="170" formatCode="0.0&quot;mm&quot;"/>
    <numFmt numFmtId="171" formatCode="&quot;$&quot;0.0&quot;bio&quot;"/>
    <numFmt numFmtId="172" formatCode="&quot;$&quot;#,##0.00"/>
    <numFmt numFmtId="173" formatCode="0.0&quot;X&quot;"/>
    <numFmt numFmtId="174" formatCode="&quot;y&quot;0"/>
  </numFmts>
  <fonts count="6" x14ac:knownFonts="1">
    <font>
      <sz val="11"/>
      <color theme="1"/>
      <name val="Calibri"/>
      <family val="2"/>
      <scheme val="minor"/>
    </font>
    <font>
      <sz val="11"/>
      <color theme="1"/>
      <name val="Calibri"/>
      <family val="2"/>
      <scheme val="minor"/>
    </font>
    <font>
      <sz val="18"/>
      <color theme="3"/>
      <name val="Calibri Light"/>
      <family val="2"/>
      <scheme val="major"/>
    </font>
    <font>
      <i/>
      <sz val="10"/>
      <color theme="1"/>
      <name val="Calibri"/>
      <family val="2"/>
      <scheme val="minor"/>
    </font>
    <font>
      <b/>
      <sz val="11"/>
      <color theme="1"/>
      <name val="Calibri"/>
      <family val="2"/>
      <scheme val="minor"/>
    </font>
    <font>
      <i/>
      <sz val="11"/>
      <color theme="1"/>
      <name val="Calibri"/>
      <family val="2"/>
      <scheme val="minor"/>
    </font>
  </fonts>
  <fills count="19">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7" tint="0.39997558519241921"/>
        <bgColor indexed="64"/>
      </patternFill>
    </fill>
    <fill>
      <patternFill patternType="solid">
        <fgColor theme="0"/>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00B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1"/>
        <bgColor indexed="64"/>
      </patternFill>
    </fill>
    <fill>
      <patternFill patternType="solid">
        <fgColor rgb="FFFFC000"/>
        <bgColor indexed="64"/>
      </patternFill>
    </fill>
    <fill>
      <patternFill patternType="solid">
        <fgColor theme="9" tint="0.79998168889431442"/>
        <bgColor indexed="64"/>
      </patternFill>
    </fill>
    <fill>
      <patternFill patternType="solid">
        <fgColor theme="9" tint="0.59999389629810485"/>
        <bgColor indexed="64"/>
      </patternFill>
    </fill>
  </fills>
  <borders count="34">
    <border>
      <left/>
      <right/>
      <top/>
      <bottom/>
      <diagonal/>
    </border>
    <border>
      <left/>
      <right/>
      <top style="thin">
        <color indexed="64"/>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0" fontId="2" fillId="0" borderId="0" applyNumberFormat="0" applyFill="0" applyBorder="0" applyAlignment="0" applyProtection="0"/>
    <xf numFmtId="164" fontId="1" fillId="2"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168" fontId="1" fillId="4" borderId="0"/>
    <xf numFmtId="168" fontId="1" fillId="4" borderId="0"/>
    <xf numFmtId="168" fontId="1" fillId="4" borderId="0"/>
    <xf numFmtId="165" fontId="1" fillId="0" borderId="0" applyFill="0" applyBorder="0" applyProtection="0"/>
  </cellStyleXfs>
  <cellXfs count="162">
    <xf numFmtId="0" fontId="0" fillId="0" borderId="0" xfId="0"/>
    <xf numFmtId="164" fontId="0" fillId="2" borderId="0" xfId="0" applyNumberFormat="1" applyFill="1"/>
    <xf numFmtId="0" fontId="2" fillId="0" borderId="0" xfId="1"/>
    <xf numFmtId="165" fontId="0" fillId="0" borderId="0" xfId="3" applyNumberFormat="1" applyFont="1"/>
    <xf numFmtId="9" fontId="0" fillId="0" borderId="0" xfId="4" applyFont="1"/>
    <xf numFmtId="164" fontId="1" fillId="2" borderId="0" xfId="2"/>
    <xf numFmtId="165" fontId="0" fillId="0" borderId="1" xfId="3" applyNumberFormat="1" applyFont="1" applyBorder="1"/>
    <xf numFmtId="0" fontId="3" fillId="0" borderId="0" xfId="0" applyFont="1"/>
    <xf numFmtId="166" fontId="0" fillId="0" borderId="0" xfId="4" applyNumberFormat="1" applyFont="1"/>
    <xf numFmtId="165" fontId="0" fillId="0" borderId="0" xfId="3" applyNumberFormat="1" applyFont="1" applyBorder="1"/>
    <xf numFmtId="165" fontId="0" fillId="0" borderId="2" xfId="3" applyNumberFormat="1" applyFont="1" applyBorder="1"/>
    <xf numFmtId="167" fontId="0" fillId="0" borderId="3" xfId="5" applyNumberFormat="1" applyFont="1" applyBorder="1"/>
    <xf numFmtId="0" fontId="0" fillId="0" borderId="0" xfId="0" applyAlignment="1">
      <alignment horizontal="left" indent="1"/>
    </xf>
    <xf numFmtId="167" fontId="0" fillId="0" borderId="4" xfId="5" applyNumberFormat="1" applyFont="1" applyBorder="1"/>
    <xf numFmtId="167" fontId="0" fillId="0" borderId="0" xfId="5" applyNumberFormat="1" applyFont="1"/>
    <xf numFmtId="0" fontId="0" fillId="0" borderId="0" xfId="0" applyAlignment="1">
      <alignment horizontal="left"/>
    </xf>
    <xf numFmtId="167" fontId="0" fillId="0" borderId="5" xfId="5" applyNumberFormat="1" applyFont="1" applyBorder="1"/>
    <xf numFmtId="165" fontId="0" fillId="3" borderId="4" xfId="3" applyNumberFormat="1" applyFont="1" applyFill="1" applyBorder="1"/>
    <xf numFmtId="165" fontId="0" fillId="0" borderId="4" xfId="3" applyNumberFormat="1" applyFont="1" applyBorder="1"/>
    <xf numFmtId="165" fontId="0" fillId="5" borderId="1" xfId="3" applyNumberFormat="1" applyFont="1" applyFill="1" applyBorder="1"/>
    <xf numFmtId="165" fontId="0" fillId="5" borderId="0" xfId="3" applyNumberFormat="1" applyFont="1" applyFill="1"/>
    <xf numFmtId="10" fontId="0" fillId="5" borderId="0" xfId="4" applyNumberFormat="1" applyFont="1" applyFill="1"/>
    <xf numFmtId="165" fontId="0" fillId="5" borderId="0" xfId="3" applyNumberFormat="1" applyFont="1" applyFill="1" applyAlignment="1">
      <alignment shrinkToFit="1"/>
    </xf>
    <xf numFmtId="166" fontId="0" fillId="5" borderId="0" xfId="4" applyNumberFormat="1" applyFont="1" applyFill="1"/>
    <xf numFmtId="9" fontId="0" fillId="5" borderId="0" xfId="4" applyFont="1" applyFill="1"/>
    <xf numFmtId="168" fontId="0" fillId="4" borderId="0" xfId="0" applyNumberFormat="1" applyFill="1"/>
    <xf numFmtId="165" fontId="0" fillId="3" borderId="0" xfId="3" applyNumberFormat="1" applyFont="1" applyFill="1"/>
    <xf numFmtId="166" fontId="0" fillId="3" borderId="0" xfId="4" applyNumberFormat="1" applyFont="1" applyFill="1"/>
    <xf numFmtId="168" fontId="1" fillId="4" borderId="0" xfId="8"/>
    <xf numFmtId="165" fontId="0" fillId="3" borderId="1" xfId="3" applyNumberFormat="1" applyFont="1" applyFill="1" applyBorder="1"/>
    <xf numFmtId="165" fontId="0" fillId="6" borderId="0" xfId="3" applyNumberFormat="1" applyFont="1" applyFill="1"/>
    <xf numFmtId="9" fontId="3" fillId="0" borderId="0" xfId="4" applyFont="1"/>
    <xf numFmtId="165" fontId="0" fillId="7" borderId="1" xfId="3" applyNumberFormat="1" applyFont="1" applyFill="1" applyBorder="1"/>
    <xf numFmtId="165" fontId="0" fillId="8" borderId="0" xfId="3" applyNumberFormat="1" applyFont="1" applyFill="1"/>
    <xf numFmtId="165" fontId="0" fillId="5" borderId="0" xfId="3" applyNumberFormat="1" applyFont="1" applyFill="1" applyBorder="1"/>
    <xf numFmtId="165" fontId="0" fillId="8" borderId="0" xfId="3" applyNumberFormat="1" applyFont="1" applyFill="1" applyBorder="1"/>
    <xf numFmtId="165" fontId="0" fillId="9" borderId="0" xfId="3" applyNumberFormat="1" applyFont="1" applyFill="1"/>
    <xf numFmtId="167" fontId="0" fillId="3" borderId="3" xfId="5" applyNumberFormat="1" applyFont="1" applyFill="1" applyBorder="1"/>
    <xf numFmtId="165" fontId="0" fillId="10" borderId="0" xfId="3" applyNumberFormat="1" applyFont="1" applyFill="1"/>
    <xf numFmtId="165" fontId="0" fillId="4" borderId="0" xfId="3" applyNumberFormat="1" applyFont="1" applyFill="1"/>
    <xf numFmtId="165" fontId="0" fillId="6" borderId="1" xfId="3" applyNumberFormat="1" applyFont="1" applyFill="1" applyBorder="1"/>
    <xf numFmtId="165" fontId="0" fillId="11" borderId="4" xfId="3" applyNumberFormat="1" applyFont="1" applyFill="1" applyBorder="1"/>
    <xf numFmtId="169" fontId="0" fillId="0" borderId="0" xfId="0" applyNumberFormat="1"/>
    <xf numFmtId="170" fontId="0" fillId="0" borderId="0" xfId="0" applyNumberFormat="1"/>
    <xf numFmtId="171" fontId="0" fillId="0" borderId="0" xfId="0" applyNumberFormat="1"/>
    <xf numFmtId="172" fontId="0" fillId="0" borderId="0" xfId="5" applyNumberFormat="1" applyFont="1"/>
    <xf numFmtId="0" fontId="0" fillId="0" borderId="0" xfId="0" applyAlignment="1">
      <alignment horizontal="right"/>
    </xf>
    <xf numFmtId="165" fontId="1" fillId="0" borderId="0" xfId="9"/>
    <xf numFmtId="165" fontId="0" fillId="0" borderId="0" xfId="0" applyNumberFormat="1"/>
    <xf numFmtId="10" fontId="0" fillId="0" borderId="0" xfId="4" applyNumberFormat="1" applyFont="1"/>
    <xf numFmtId="165" fontId="0" fillId="0" borderId="1" xfId="0" applyNumberFormat="1" applyBorder="1"/>
    <xf numFmtId="165" fontId="1" fillId="0" borderId="1" xfId="9" applyBorder="1"/>
    <xf numFmtId="9" fontId="0" fillId="0" borderId="0" xfId="0" applyNumberFormat="1"/>
    <xf numFmtId="9" fontId="1" fillId="0" borderId="0" xfId="4"/>
    <xf numFmtId="167" fontId="1" fillId="0" borderId="6" xfId="5" applyNumberFormat="1" applyBorder="1"/>
    <xf numFmtId="165" fontId="1" fillId="3" borderId="1" xfId="9" applyFill="1" applyBorder="1"/>
    <xf numFmtId="166" fontId="1" fillId="0" borderId="0" xfId="4" applyNumberFormat="1"/>
    <xf numFmtId="9" fontId="1" fillId="3" borderId="0" xfId="4" applyFill="1"/>
    <xf numFmtId="165" fontId="0" fillId="12" borderId="0" xfId="0" applyNumberFormat="1" applyFill="1"/>
    <xf numFmtId="173" fontId="1" fillId="0" borderId="0" xfId="9" applyNumberFormat="1"/>
    <xf numFmtId="0" fontId="4" fillId="0" borderId="0" xfId="0" applyFont="1"/>
    <xf numFmtId="165" fontId="1" fillId="4" borderId="6" xfId="9" applyFill="1" applyBorder="1" applyAlignment="1">
      <alignment horizontal="center"/>
    </xf>
    <xf numFmtId="165" fontId="1" fillId="10" borderId="6" xfId="9" applyFill="1" applyBorder="1" applyAlignment="1">
      <alignment horizontal="center"/>
    </xf>
    <xf numFmtId="165" fontId="1" fillId="10" borderId="1" xfId="9" applyFill="1" applyBorder="1"/>
    <xf numFmtId="44" fontId="1" fillId="0" borderId="0" xfId="5"/>
    <xf numFmtId="9" fontId="1" fillId="13" borderId="9" xfId="4" applyFill="1" applyBorder="1"/>
    <xf numFmtId="9" fontId="1" fillId="13" borderId="10" xfId="4" applyFill="1" applyBorder="1"/>
    <xf numFmtId="9" fontId="0" fillId="13" borderId="10" xfId="4" applyFont="1" applyFill="1" applyBorder="1"/>
    <xf numFmtId="9" fontId="0" fillId="13" borderId="11" xfId="4" applyFont="1" applyFill="1" applyBorder="1"/>
    <xf numFmtId="166" fontId="1" fillId="14" borderId="12" xfId="4" applyNumberFormat="1" applyFill="1" applyBorder="1"/>
    <xf numFmtId="166" fontId="1" fillId="14" borderId="13" xfId="4" applyNumberFormat="1" applyFill="1" applyBorder="1"/>
    <xf numFmtId="166" fontId="1" fillId="14" borderId="14" xfId="4" applyNumberFormat="1" applyFill="1" applyBorder="1"/>
    <xf numFmtId="165" fontId="1" fillId="15" borderId="12" xfId="9" applyFill="1" applyBorder="1"/>
    <xf numFmtId="165" fontId="1" fillId="15" borderId="14" xfId="9" applyFill="1" applyBorder="1"/>
    <xf numFmtId="10" fontId="1" fillId="12" borderId="0" xfId="4" applyNumberFormat="1" applyFill="1"/>
    <xf numFmtId="10" fontId="0" fillId="12" borderId="0" xfId="4" applyNumberFormat="1" applyFont="1" applyFill="1"/>
    <xf numFmtId="165" fontId="1" fillId="0" borderId="7" xfId="3" applyNumberFormat="1" applyBorder="1"/>
    <xf numFmtId="165" fontId="1" fillId="0" borderId="15" xfId="3" applyNumberFormat="1" applyBorder="1"/>
    <xf numFmtId="165" fontId="0" fillId="0" borderId="15" xfId="3" applyNumberFormat="1" applyFont="1" applyBorder="1"/>
    <xf numFmtId="165" fontId="0" fillId="0" borderId="8" xfId="3" applyNumberFormat="1" applyFont="1" applyBorder="1"/>
    <xf numFmtId="165" fontId="1" fillId="0" borderId="16" xfId="3" applyNumberFormat="1" applyBorder="1"/>
    <xf numFmtId="165" fontId="1" fillId="0" borderId="0" xfId="3" applyNumberFormat="1" applyBorder="1"/>
    <xf numFmtId="165" fontId="0" fillId="0" borderId="17" xfId="3" applyNumberFormat="1" applyFont="1" applyBorder="1"/>
    <xf numFmtId="165" fontId="1" fillId="0" borderId="18" xfId="3" applyNumberFormat="1" applyBorder="1"/>
    <xf numFmtId="165" fontId="1" fillId="0" borderId="19" xfId="3" applyNumberFormat="1" applyBorder="1"/>
    <xf numFmtId="165" fontId="0" fillId="0" borderId="19" xfId="3" applyNumberFormat="1" applyFont="1" applyBorder="1"/>
    <xf numFmtId="165" fontId="0" fillId="0" borderId="20" xfId="3" applyNumberFormat="1" applyFont="1" applyBorder="1"/>
    <xf numFmtId="173" fontId="1" fillId="13" borderId="9" xfId="4" applyNumberFormat="1" applyFill="1" applyBorder="1"/>
    <xf numFmtId="173" fontId="1" fillId="13" borderId="10" xfId="4" applyNumberFormat="1" applyFill="1" applyBorder="1"/>
    <xf numFmtId="173" fontId="0" fillId="13" borderId="10" xfId="4" applyNumberFormat="1" applyFont="1" applyFill="1" applyBorder="1"/>
    <xf numFmtId="173" fontId="0" fillId="13" borderId="11" xfId="4" applyNumberFormat="1" applyFont="1" applyFill="1" applyBorder="1"/>
    <xf numFmtId="173" fontId="1" fillId="16" borderId="0" xfId="9" applyNumberFormat="1" applyFill="1"/>
    <xf numFmtId="165" fontId="1" fillId="0" borderId="14" xfId="9" applyFill="1" applyBorder="1"/>
    <xf numFmtId="165" fontId="1" fillId="14" borderId="12" xfId="3" applyNumberFormat="1" applyFill="1" applyBorder="1"/>
    <xf numFmtId="165" fontId="1" fillId="14" borderId="13" xfId="3" applyNumberFormat="1" applyFill="1" applyBorder="1"/>
    <xf numFmtId="165" fontId="1" fillId="14" borderId="14" xfId="3" applyNumberFormat="1" applyFill="1" applyBorder="1"/>
    <xf numFmtId="9" fontId="0" fillId="14" borderId="12" xfId="4" applyFont="1" applyFill="1" applyBorder="1"/>
    <xf numFmtId="9" fontId="0" fillId="14" borderId="13" xfId="4" applyFont="1" applyFill="1" applyBorder="1"/>
    <xf numFmtId="9" fontId="0" fillId="14" borderId="14" xfId="4" applyFont="1" applyFill="1" applyBorder="1"/>
    <xf numFmtId="167" fontId="0" fillId="0" borderId="0" xfId="0" applyNumberFormat="1"/>
    <xf numFmtId="0" fontId="0" fillId="0" borderId="21" xfId="0" applyBorder="1"/>
    <xf numFmtId="0" fontId="0" fillId="0" borderId="1" xfId="0" applyBorder="1"/>
    <xf numFmtId="44" fontId="0" fillId="0" borderId="22" xfId="5" applyFont="1" applyBorder="1"/>
    <xf numFmtId="0" fontId="0" fillId="0" borderId="23" xfId="0" applyBorder="1"/>
    <xf numFmtId="173" fontId="0" fillId="0" borderId="24" xfId="0" applyNumberFormat="1" applyBorder="1"/>
    <xf numFmtId="165" fontId="0" fillId="0" borderId="22" xfId="3" applyNumberFormat="1" applyFont="1" applyBorder="1"/>
    <xf numFmtId="0" fontId="0" fillId="0" borderId="24" xfId="0" applyBorder="1"/>
    <xf numFmtId="165" fontId="0" fillId="0" borderId="24" xfId="3" applyNumberFormat="1" applyFont="1" applyBorder="1"/>
    <xf numFmtId="167" fontId="0" fillId="0" borderId="25" xfId="5" applyNumberFormat="1" applyFont="1" applyBorder="1"/>
    <xf numFmtId="0" fontId="0" fillId="0" borderId="26" xfId="0" applyBorder="1"/>
    <xf numFmtId="0" fontId="0" fillId="0" borderId="2" xfId="0" applyBorder="1"/>
    <xf numFmtId="0" fontId="5" fillId="0" borderId="2" xfId="0" applyFont="1" applyBorder="1"/>
    <xf numFmtId="44" fontId="0" fillId="0" borderId="27" xfId="5" applyFont="1" applyBorder="1"/>
    <xf numFmtId="3" fontId="0" fillId="0" borderId="0" xfId="0" applyNumberFormat="1"/>
    <xf numFmtId="44" fontId="0" fillId="0" borderId="24" xfId="0" applyNumberFormat="1" applyBorder="1"/>
    <xf numFmtId="3" fontId="0" fillId="0" borderId="24" xfId="0" applyNumberFormat="1" applyBorder="1"/>
    <xf numFmtId="3" fontId="0" fillId="0" borderId="27" xfId="0" applyNumberFormat="1" applyBorder="1"/>
    <xf numFmtId="167" fontId="0" fillId="0" borderId="24" xfId="0" applyNumberFormat="1" applyBorder="1"/>
    <xf numFmtId="167" fontId="0" fillId="0" borderId="30" xfId="0" applyNumberFormat="1" applyBorder="1"/>
    <xf numFmtId="0" fontId="0" fillId="17" borderId="28" xfId="0" applyFill="1" applyBorder="1"/>
    <xf numFmtId="0" fontId="0" fillId="17" borderId="29" xfId="0" applyFill="1" applyBorder="1"/>
    <xf numFmtId="0" fontId="0" fillId="17" borderId="30" xfId="0" applyFill="1" applyBorder="1"/>
    <xf numFmtId="2" fontId="0" fillId="0" borderId="0" xfId="0" applyNumberFormat="1"/>
    <xf numFmtId="164" fontId="1" fillId="13" borderId="0" xfId="2" applyFill="1" applyAlignment="1">
      <alignment horizontal="center"/>
    </xf>
    <xf numFmtId="164" fontId="1" fillId="13" borderId="0" xfId="2" applyFill="1"/>
    <xf numFmtId="9" fontId="0" fillId="9" borderId="0" xfId="4" applyFont="1" applyFill="1"/>
    <xf numFmtId="168" fontId="1" fillId="4" borderId="0" xfId="6"/>
    <xf numFmtId="1" fontId="0" fillId="0" borderId="0" xfId="0" applyNumberFormat="1"/>
    <xf numFmtId="1" fontId="0" fillId="0" borderId="1" xfId="0" applyNumberFormat="1" applyBorder="1"/>
    <xf numFmtId="0" fontId="0" fillId="0" borderId="0" xfId="0" applyAlignment="1">
      <alignment horizontal="center" vertical="center"/>
    </xf>
    <xf numFmtId="0" fontId="0" fillId="13" borderId="31" xfId="0" applyFill="1" applyBorder="1" applyAlignment="1">
      <alignment horizontal="center" vertical="center" wrapText="1"/>
    </xf>
    <xf numFmtId="173" fontId="0" fillId="0" borderId="32" xfId="0" applyNumberFormat="1" applyBorder="1"/>
    <xf numFmtId="173" fontId="0" fillId="0" borderId="33" xfId="0" applyNumberFormat="1" applyBorder="1"/>
    <xf numFmtId="0" fontId="0" fillId="14" borderId="15" xfId="0" applyFill="1" applyBorder="1" applyAlignment="1">
      <alignment horizontal="center" wrapText="1"/>
    </xf>
    <xf numFmtId="0" fontId="0" fillId="14" borderId="15" xfId="0" applyFill="1" applyBorder="1" applyAlignment="1">
      <alignment horizontal="center" vertical="center" wrapText="1"/>
    </xf>
    <xf numFmtId="165" fontId="0" fillId="0" borderId="21" xfId="3" applyNumberFormat="1" applyFont="1" applyBorder="1"/>
    <xf numFmtId="165" fontId="0" fillId="0" borderId="23" xfId="3" applyNumberFormat="1" applyFont="1" applyBorder="1"/>
    <xf numFmtId="165" fontId="0" fillId="0" borderId="26" xfId="3" applyNumberFormat="1" applyFont="1" applyBorder="1"/>
    <xf numFmtId="165" fontId="0" fillId="0" borderId="27" xfId="3" applyNumberFormat="1" applyFont="1" applyBorder="1"/>
    <xf numFmtId="0" fontId="0" fillId="18" borderId="8" xfId="0" applyFill="1" applyBorder="1" applyAlignment="1">
      <alignment horizontal="center" vertical="center" wrapText="1"/>
    </xf>
    <xf numFmtId="165" fontId="0" fillId="0" borderId="31" xfId="3" applyNumberFormat="1" applyFont="1" applyBorder="1"/>
    <xf numFmtId="165" fontId="0" fillId="0" borderId="32" xfId="3" applyNumberFormat="1" applyFont="1" applyBorder="1"/>
    <xf numFmtId="165" fontId="0" fillId="0" borderId="33" xfId="3" applyNumberFormat="1" applyFont="1" applyBorder="1"/>
    <xf numFmtId="44" fontId="0" fillId="0" borderId="0" xfId="5" applyFont="1"/>
    <xf numFmtId="174" fontId="0" fillId="0" borderId="0" xfId="0" applyNumberFormat="1"/>
    <xf numFmtId="44" fontId="0" fillId="0" borderId="0" xfId="0" applyNumberFormat="1"/>
    <xf numFmtId="0" fontId="0" fillId="17" borderId="28" xfId="0" applyFill="1" applyBorder="1" applyAlignment="1">
      <alignment horizontal="left"/>
    </xf>
    <xf numFmtId="0" fontId="0" fillId="17" borderId="29" xfId="0" applyFill="1" applyBorder="1" applyAlignment="1">
      <alignment horizontal="left"/>
    </xf>
    <xf numFmtId="0" fontId="0" fillId="17" borderId="30" xfId="0" applyFill="1" applyBorder="1" applyAlignment="1">
      <alignment horizontal="left"/>
    </xf>
    <xf numFmtId="0" fontId="0" fillId="7" borderId="7" xfId="0" applyFill="1" applyBorder="1" applyAlignment="1">
      <alignment horizontal="center"/>
    </xf>
    <xf numFmtId="0" fontId="0" fillId="7" borderId="15" xfId="0" applyFill="1" applyBorder="1" applyAlignment="1">
      <alignment horizontal="center"/>
    </xf>
    <xf numFmtId="0" fontId="0" fillId="7" borderId="8" xfId="0" applyFill="1" applyBorder="1" applyAlignment="1">
      <alignment horizontal="center"/>
    </xf>
    <xf numFmtId="165" fontId="1" fillId="10" borderId="9" xfId="9" applyFill="1" applyBorder="1" applyAlignment="1">
      <alignment horizontal="center"/>
    </xf>
    <xf numFmtId="165" fontId="1" fillId="10" borderId="10" xfId="9" applyFill="1" applyBorder="1" applyAlignment="1">
      <alignment horizontal="center"/>
    </xf>
    <xf numFmtId="165" fontId="1" fillId="10" borderId="11" xfId="9" applyFill="1" applyBorder="1" applyAlignment="1">
      <alignment horizontal="center"/>
    </xf>
    <xf numFmtId="165" fontId="1" fillId="4" borderId="9" xfId="9" applyFill="1" applyBorder="1" applyAlignment="1">
      <alignment horizontal="center"/>
    </xf>
    <xf numFmtId="165" fontId="1" fillId="4" borderId="10" xfId="9" applyFill="1" applyBorder="1" applyAlignment="1">
      <alignment horizontal="center"/>
    </xf>
    <xf numFmtId="165" fontId="1" fillId="4" borderId="11" xfId="9" applyFill="1" applyBorder="1" applyAlignment="1">
      <alignment horizontal="center"/>
    </xf>
    <xf numFmtId="165" fontId="1" fillId="7" borderId="12" xfId="9" applyFill="1" applyBorder="1" applyAlignment="1">
      <alignment horizontal="center" wrapText="1"/>
    </xf>
    <xf numFmtId="165" fontId="1" fillId="7" borderId="14" xfId="9" applyFill="1" applyBorder="1" applyAlignment="1">
      <alignment horizontal="center" wrapText="1"/>
    </xf>
    <xf numFmtId="165" fontId="1" fillId="9" borderId="7" xfId="9" applyFill="1" applyBorder="1" applyAlignment="1">
      <alignment horizontal="center"/>
    </xf>
    <xf numFmtId="165" fontId="1" fillId="9" borderId="8" xfId="9" applyFill="1" applyBorder="1" applyAlignment="1">
      <alignment horizontal="center"/>
    </xf>
  </cellXfs>
  <cellStyles count="10">
    <cellStyle name="Comma" xfId="3" builtinId="3"/>
    <cellStyle name="Currency" xfId="5" builtinId="4"/>
    <cellStyle name="Fcst Date" xfId="8" xr:uid="{56E611E2-1470-4AB3-ACF5-30A629926CA7}"/>
    <cellStyle name="Forecast Date" xfId="6" xr:uid="{15CCEE28-55A2-4B85-B759-0008FD4C071B}"/>
    <cellStyle name="HIstorical Date" xfId="2" xr:uid="{A8B7A028-4366-421A-9323-2353892AC2FD}"/>
    <cellStyle name="Normal" xfId="0" builtinId="0"/>
    <cellStyle name="NormalComma" xfId="9" xr:uid="{65E7A8FC-4D59-411C-9FE5-1807C928C4B5}"/>
    <cellStyle name="Percent" xfId="4" builtinId="5"/>
    <cellStyle name="Style 1" xfId="7" xr:uid="{89B7FA0C-080E-4462-BE74-7969020A2B68}"/>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Football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'DCF Model'!$G$92</c:f>
              <c:strCache>
                <c:ptCount val="1"/>
                <c:pt idx="0">
                  <c:v> Low </c:v>
                </c:pt>
              </c:strCache>
            </c:strRef>
          </c:tx>
          <c:spPr>
            <a:noFill/>
            <a:ln>
              <a:noFill/>
            </a:ln>
            <a:effectLst/>
          </c:spPr>
          <c:invertIfNegative val="0"/>
          <c:cat>
            <c:strRef>
              <c:f>'DCF Model'!$F$93:$F$95</c:f>
              <c:strCache>
                <c:ptCount val="3"/>
                <c:pt idx="0">
                  <c:v>DCF Value 8X - 12X Multiplier</c:v>
                </c:pt>
                <c:pt idx="1">
                  <c:v>DCF Value 2% - 6% Growth Rate</c:v>
                </c:pt>
                <c:pt idx="2">
                  <c:v>52 Week Market High/Low</c:v>
                </c:pt>
              </c:strCache>
            </c:strRef>
          </c:cat>
          <c:val>
            <c:numRef>
              <c:f>'DCF Model'!$G$93:$G$95</c:f>
              <c:numCache>
                <c:formatCode>_(* #,##0_);_(* \(#,##0\);_(* "-"??_);_(@_)</c:formatCode>
                <c:ptCount val="3"/>
                <c:pt idx="0">
                  <c:v>31.651390725942573</c:v>
                </c:pt>
                <c:pt idx="1">
                  <c:v>20.358543688225922</c:v>
                </c:pt>
                <c:pt idx="2">
                  <c:v>23.7</c:v>
                </c:pt>
              </c:numCache>
            </c:numRef>
          </c:val>
          <c:extLst>
            <c:ext xmlns:c16="http://schemas.microsoft.com/office/drawing/2014/chart" uri="{C3380CC4-5D6E-409C-BE32-E72D297353CC}">
              <c16:uniqueId val="{00000000-209B-47D9-851A-29F3ADC0BB12}"/>
            </c:ext>
          </c:extLst>
        </c:ser>
        <c:ser>
          <c:idx val="1"/>
          <c:order val="1"/>
          <c:tx>
            <c:strRef>
              <c:f>'DCF Model'!$H$92</c:f>
              <c:strCache>
                <c:ptCount val="1"/>
                <c:pt idx="0">
                  <c:v> Difference </c:v>
                </c:pt>
              </c:strCache>
            </c:strRef>
          </c:tx>
          <c:spPr>
            <a:solidFill>
              <a:schemeClr val="accent2"/>
            </a:solidFill>
            <a:ln>
              <a:noFill/>
            </a:ln>
            <a:effectLst/>
          </c:spPr>
          <c:invertIfNegative val="0"/>
          <c:cat>
            <c:strRef>
              <c:f>'DCF Model'!$F$93:$F$95</c:f>
              <c:strCache>
                <c:ptCount val="3"/>
                <c:pt idx="0">
                  <c:v>DCF Value 8X - 12X Multiplier</c:v>
                </c:pt>
                <c:pt idx="1">
                  <c:v>DCF Value 2% - 6% Growth Rate</c:v>
                </c:pt>
                <c:pt idx="2">
                  <c:v>52 Week Market High/Low</c:v>
                </c:pt>
              </c:strCache>
            </c:strRef>
          </c:cat>
          <c:val>
            <c:numRef>
              <c:f>'DCF Model'!$H$93:$H$95</c:f>
              <c:numCache>
                <c:formatCode>_(* #,##0_);_(* \(#,##0\);_(* "-"??_);_(@_)</c:formatCode>
                <c:ptCount val="3"/>
                <c:pt idx="0">
                  <c:v>29.450368745279594</c:v>
                </c:pt>
                <c:pt idx="1">
                  <c:v>48.226639560267287</c:v>
                </c:pt>
                <c:pt idx="2">
                  <c:v>9.6500000000000021</c:v>
                </c:pt>
              </c:numCache>
            </c:numRef>
          </c:val>
          <c:extLst>
            <c:ext xmlns:c16="http://schemas.microsoft.com/office/drawing/2014/chart" uri="{C3380CC4-5D6E-409C-BE32-E72D297353CC}">
              <c16:uniqueId val="{00000001-209B-47D9-851A-29F3ADC0BB12}"/>
            </c:ext>
          </c:extLst>
        </c:ser>
        <c:ser>
          <c:idx val="2"/>
          <c:order val="2"/>
          <c:tx>
            <c:strRef>
              <c:f>'DCF Model'!$I$92</c:f>
              <c:strCache>
                <c:ptCount val="1"/>
                <c:pt idx="0">
                  <c:v> High </c:v>
                </c:pt>
              </c:strCache>
            </c:strRef>
          </c:tx>
          <c:spPr>
            <a:noFill/>
            <a:ln>
              <a:noFill/>
            </a:ln>
            <a:effectLst/>
          </c:spPr>
          <c:invertIfNegative val="0"/>
          <c:cat>
            <c:strRef>
              <c:f>'DCF Model'!$F$93:$F$95</c:f>
              <c:strCache>
                <c:ptCount val="3"/>
                <c:pt idx="0">
                  <c:v>DCF Value 8X - 12X Multiplier</c:v>
                </c:pt>
                <c:pt idx="1">
                  <c:v>DCF Value 2% - 6% Growth Rate</c:v>
                </c:pt>
                <c:pt idx="2">
                  <c:v>52 Week Market High/Low</c:v>
                </c:pt>
              </c:strCache>
            </c:strRef>
          </c:cat>
          <c:val>
            <c:numRef>
              <c:f>'DCF Model'!$I$93:$I$95</c:f>
              <c:numCache>
                <c:formatCode>_(* #,##0_);_(* \(#,##0\);_(* "-"??_);_(@_)</c:formatCode>
                <c:ptCount val="3"/>
                <c:pt idx="0">
                  <c:v>61.101759471222167</c:v>
                </c:pt>
                <c:pt idx="1">
                  <c:v>68.585183248493209</c:v>
                </c:pt>
                <c:pt idx="2">
                  <c:v>33.35</c:v>
                </c:pt>
              </c:numCache>
            </c:numRef>
          </c:val>
          <c:extLst>
            <c:ext xmlns:c16="http://schemas.microsoft.com/office/drawing/2014/chart" uri="{C3380CC4-5D6E-409C-BE32-E72D297353CC}">
              <c16:uniqueId val="{00000002-209B-47D9-851A-29F3ADC0BB12}"/>
            </c:ext>
          </c:extLst>
        </c:ser>
        <c:dLbls>
          <c:showLegendKey val="0"/>
          <c:showVal val="0"/>
          <c:showCatName val="0"/>
          <c:showSerName val="0"/>
          <c:showPercent val="0"/>
          <c:showBubbleSize val="0"/>
        </c:dLbls>
        <c:gapWidth val="150"/>
        <c:overlap val="100"/>
        <c:axId val="1827505008"/>
        <c:axId val="1827494448"/>
      </c:barChart>
      <c:lineChart>
        <c:grouping val="standard"/>
        <c:varyColors val="0"/>
        <c:ser>
          <c:idx val="3"/>
          <c:order val="3"/>
          <c:tx>
            <c:strRef>
              <c:f>'DCF Model'!$F$96</c:f>
              <c:strCache>
                <c:ptCount val="1"/>
                <c:pt idx="0">
                  <c:v>GFHIM Valuation</c:v>
                </c:pt>
              </c:strCache>
            </c:strRef>
          </c:tx>
          <c:spPr>
            <a:ln w="28575" cap="rnd">
              <a:solidFill>
                <a:schemeClr val="tx1"/>
              </a:solidFill>
              <a:prstDash val="dash"/>
              <a:round/>
            </a:ln>
            <a:effectLst/>
          </c:spPr>
          <c:marker>
            <c:symbol val="none"/>
          </c:marker>
          <c:val>
            <c:numRef>
              <c:f>'DCF Model'!$G$96:$I$96</c:f>
              <c:numCache>
                <c:formatCode>_(* #,##0_);_(* \(#,##0\);_(* "-"??_);_(@_)</c:formatCode>
                <c:ptCount val="3"/>
                <c:pt idx="0">
                  <c:v>39.996244853820073</c:v>
                </c:pt>
                <c:pt idx="1">
                  <c:v>39.996244853820073</c:v>
                </c:pt>
                <c:pt idx="2">
                  <c:v>39.996244853820073</c:v>
                </c:pt>
              </c:numCache>
            </c:numRef>
          </c:val>
          <c:smooth val="0"/>
          <c:extLst>
            <c:ext xmlns:c16="http://schemas.microsoft.com/office/drawing/2014/chart" uri="{C3380CC4-5D6E-409C-BE32-E72D297353CC}">
              <c16:uniqueId val="{00000005-209B-47D9-851A-29F3ADC0BB12}"/>
            </c:ext>
          </c:extLst>
        </c:ser>
        <c:dLbls>
          <c:showLegendKey val="0"/>
          <c:showVal val="0"/>
          <c:showCatName val="0"/>
          <c:showSerName val="0"/>
          <c:showPercent val="0"/>
          <c:showBubbleSize val="0"/>
        </c:dLbls>
        <c:marker val="1"/>
        <c:smooth val="0"/>
        <c:axId val="1827505008"/>
        <c:axId val="1827494448"/>
      </c:lineChart>
      <c:catAx>
        <c:axId val="182750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494448"/>
        <c:crosses val="autoZero"/>
        <c:auto val="1"/>
        <c:lblAlgn val="ctr"/>
        <c:lblOffset val="100"/>
        <c:noMultiLvlLbl val="0"/>
      </c:catAx>
      <c:valAx>
        <c:axId val="1827494448"/>
        <c:scaling>
          <c:orientation val="minMax"/>
          <c:max val="8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0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10.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185329</xdr:colOff>
      <xdr:row>32</xdr:row>
      <xdr:rowOff>9720</xdr:rowOff>
    </xdr:from>
    <xdr:to>
      <xdr:col>9</xdr:col>
      <xdr:colOff>185689</xdr:colOff>
      <xdr:row>32</xdr:row>
      <xdr:rowOff>10080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E275BF83-AEB6-6B6B-2841-3E88E0677C16}"/>
                </a:ext>
              </a:extLst>
            </xdr14:cNvPr>
            <xdr14:cNvContentPartPr/>
          </xdr14:nvContentPartPr>
          <xdr14:nvPr macro=""/>
          <xdr14:xfrm>
            <a:off x="4110632" y="6105720"/>
            <a:ext cx="360" cy="360"/>
          </xdr14:xfrm>
        </xdr:contentPart>
      </mc:Choice>
      <mc:Fallback xmlns="">
        <xdr:pic>
          <xdr:nvPicPr>
            <xdr:cNvPr id="2" name="Ink 1">
              <a:extLst>
                <a:ext uri="{FF2B5EF4-FFF2-40B4-BE49-F238E27FC236}">
                  <a16:creationId xmlns:a16="http://schemas.microsoft.com/office/drawing/2014/main" id="{E275BF83-AEB6-6B6B-2841-3E88E0677C16}"/>
                </a:ext>
              </a:extLst>
            </xdr:cNvPr>
            <xdr:cNvPicPr/>
          </xdr:nvPicPr>
          <xdr:blipFill>
            <a:blip xmlns:r="http://schemas.openxmlformats.org/officeDocument/2006/relationships" r:embed="rId2"/>
            <a:stretch>
              <a:fillRect/>
            </a:stretch>
          </xdr:blipFill>
          <xdr:spPr>
            <a:xfrm>
              <a:off x="4104512" y="6099600"/>
              <a:ext cx="12600" cy="126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582197</xdr:colOff>
      <xdr:row>17</xdr:row>
      <xdr:rowOff>54840</xdr:rowOff>
    </xdr:from>
    <xdr:to>
      <xdr:col>9</xdr:col>
      <xdr:colOff>158374</xdr:colOff>
      <xdr:row>17</xdr:row>
      <xdr:rowOff>76440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9B650AFB-63AF-49A1-88E6-060745575D47}"/>
                </a:ext>
              </a:extLst>
            </xdr14:cNvPr>
            <xdr14:cNvContentPartPr/>
          </xdr14:nvContentPartPr>
          <xdr14:nvPr macro=""/>
          <xdr14:xfrm>
            <a:off x="3407040" y="3396754"/>
            <a:ext cx="1372320" cy="21600"/>
          </xdr14:xfrm>
        </xdr:contentPart>
      </mc:Choice>
      <mc:Fallback xmlns="">
        <xdr:pic>
          <xdr:nvPicPr>
            <xdr:cNvPr id="2" name="Ink 1">
              <a:extLst>
                <a:ext uri="{FF2B5EF4-FFF2-40B4-BE49-F238E27FC236}">
                  <a16:creationId xmlns:a16="http://schemas.microsoft.com/office/drawing/2014/main" id="{9B650AFB-63AF-49A1-88E6-060745575D47}"/>
                </a:ext>
              </a:extLst>
            </xdr:cNvPr>
            <xdr:cNvPicPr/>
          </xdr:nvPicPr>
          <xdr:blipFill>
            <a:blip xmlns:r="http://schemas.openxmlformats.org/officeDocument/2006/relationships" r:embed="rId2"/>
            <a:stretch>
              <a:fillRect/>
            </a:stretch>
          </xdr:blipFill>
          <xdr:spPr>
            <a:xfrm>
              <a:off x="3353040" y="3288754"/>
              <a:ext cx="1479960" cy="23724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6</xdr:col>
      <xdr:colOff>332362</xdr:colOff>
      <xdr:row>65</xdr:row>
      <xdr:rowOff>198606</xdr:rowOff>
    </xdr:from>
    <xdr:ext cx="363716" cy="952499"/>
    <xdr:sp macro="" textlink="">
      <xdr:nvSpPr>
        <xdr:cNvPr id="6" name="Rectangle 5">
          <a:extLst>
            <a:ext uri="{FF2B5EF4-FFF2-40B4-BE49-F238E27FC236}">
              <a16:creationId xmlns:a16="http://schemas.microsoft.com/office/drawing/2014/main" id="{D59F79DA-C842-2579-F006-87B59D273D1F}"/>
            </a:ext>
          </a:extLst>
        </xdr:cNvPr>
        <xdr:cNvSpPr/>
      </xdr:nvSpPr>
      <xdr:spPr>
        <a:xfrm>
          <a:off x="2427862" y="12751340"/>
          <a:ext cx="363716" cy="952499"/>
        </a:xfrm>
        <a:prstGeom prst="rect">
          <a:avLst/>
        </a:prstGeom>
        <a:solidFill>
          <a:schemeClr val="accent5">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vert="wordArtVert" wrap="square" lIns="91440" tIns="45720" rIns="91440" bIns="45720">
          <a:noAutofit/>
        </a:bodyPr>
        <a:lstStyle/>
        <a:p>
          <a:pPr algn="ctr"/>
          <a:r>
            <a:rPr lang="en-US" sz="1100" b="0" cap="none" spc="0">
              <a:ln w="0"/>
              <a:solidFill>
                <a:schemeClr val="tx1"/>
              </a:solidFill>
              <a:effectLst>
                <a:outerShdw blurRad="38100" dist="19050" dir="2700000" algn="tl" rotWithShape="0">
                  <a:schemeClr val="dk1">
                    <a:alpha val="40000"/>
                  </a:schemeClr>
                </a:outerShdw>
              </a:effectLst>
            </a:rPr>
            <a:t>WACC</a:t>
          </a:r>
        </a:p>
      </xdr:txBody>
    </xdr:sp>
    <xdr:clientData/>
  </xdr:oneCellAnchor>
  <xdr:oneCellAnchor>
    <xdr:from>
      <xdr:col>6</xdr:col>
      <xdr:colOff>332362</xdr:colOff>
      <xdr:row>74</xdr:row>
      <xdr:rowOff>198606</xdr:rowOff>
    </xdr:from>
    <xdr:ext cx="363716" cy="952499"/>
    <xdr:sp macro="" textlink="">
      <xdr:nvSpPr>
        <xdr:cNvPr id="3" name="Rectangle 2">
          <a:extLst>
            <a:ext uri="{FF2B5EF4-FFF2-40B4-BE49-F238E27FC236}">
              <a16:creationId xmlns:a16="http://schemas.microsoft.com/office/drawing/2014/main" id="{297D1A15-4F7D-4A4C-A186-0048411A4F7E}"/>
            </a:ext>
          </a:extLst>
        </xdr:cNvPr>
        <xdr:cNvSpPr/>
      </xdr:nvSpPr>
      <xdr:spPr>
        <a:xfrm>
          <a:off x="2422849" y="12766593"/>
          <a:ext cx="363716" cy="952499"/>
        </a:xfrm>
        <a:prstGeom prst="rect">
          <a:avLst/>
        </a:prstGeom>
        <a:solidFill>
          <a:schemeClr val="accent5">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vert="wordArtVert" wrap="square" lIns="91440" tIns="45720" rIns="91440" bIns="45720">
          <a:noAutofit/>
        </a:bodyPr>
        <a:lstStyle/>
        <a:p>
          <a:pPr algn="ctr"/>
          <a:r>
            <a:rPr lang="en-US" sz="1100" b="0" cap="none" spc="0">
              <a:ln w="0"/>
              <a:solidFill>
                <a:schemeClr val="tx1"/>
              </a:solidFill>
              <a:effectLst>
                <a:outerShdw blurRad="38100" dist="19050" dir="2700000" algn="tl" rotWithShape="0">
                  <a:schemeClr val="dk1">
                    <a:alpha val="40000"/>
                  </a:schemeClr>
                </a:outerShdw>
              </a:effectLst>
            </a:rPr>
            <a:t>WACC</a:t>
          </a:r>
        </a:p>
      </xdr:txBody>
    </xdr:sp>
    <xdr:clientData/>
  </xdr:oneCellAnchor>
  <xdr:twoCellAnchor>
    <xdr:from>
      <xdr:col>13</xdr:col>
      <xdr:colOff>0</xdr:colOff>
      <xdr:row>63</xdr:row>
      <xdr:rowOff>0</xdr:rowOff>
    </xdr:from>
    <xdr:to>
      <xdr:col>20</xdr:col>
      <xdr:colOff>609599</xdr:colOff>
      <xdr:row>88</xdr:row>
      <xdr:rowOff>200024</xdr:rowOff>
    </xdr:to>
    <xdr:graphicFrame macro="">
      <xdr:nvGraphicFramePr>
        <xdr:cNvPr id="5" name="Chart 4">
          <a:extLst>
            <a:ext uri="{FF2B5EF4-FFF2-40B4-BE49-F238E27FC236}">
              <a16:creationId xmlns:a16="http://schemas.microsoft.com/office/drawing/2014/main" id="{8F3E95EC-D073-5131-45C8-39053D22C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8-28T19:06:13.582"/>
    </inkml:context>
    <inkml:brush xml:id="br0">
      <inkml:brushProperty name="width" value="0.035" units="cm"/>
      <inkml:brushProperty name="height" value="0.035" units="cm"/>
    </inkml:brush>
  </inkml:definitions>
  <inkml:trace contextRef="#ctx0" brushRef="#br0">1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08-26T19:19:10.477"/>
    </inkml:context>
    <inkml:brush xml:id="br0">
      <inkml:brushProperty name="width" value="0.3" units="cm"/>
      <inkml:brushProperty name="height" value="0.6" units="cm"/>
      <inkml:brushProperty name="color" value="#FFFC00"/>
      <inkml:brushProperty name="tip" value="rectangle"/>
      <inkml:brushProperty name="rasterOp" value="maskPen"/>
      <inkml:brushProperty name="ignorePressure" value="1"/>
    </inkml:brush>
  </inkml:definitions>
  <inkml:trace contextRef="#ctx0" brushRef="#br0">0 59,'997'-10,"-818"7,539 1,-418 2,-52-16,125 23,254-9,-561-8,11 0,-14 10,86-11,-135 9</inkml:trace>
</inkml:ink>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https://www.bing.com/financeapi/forcetrigger?t=a1wi77&amp;q=XNAS%3aKHC&amp;form=skydnc</v>
    <v>Learn more on Bing</v>
  </rv>
  <rv s="1">
    <v>en-US</v>
    <v>a1wi77</v>
    <v>268435456</v>
    <v>1</v>
    <v>Powered by Refinitiv</v>
    <v>0</v>
    <v>THE KRAFT HEINZ COMPANY (XNAS:KHC)</v>
    <v>2</v>
    <v>3</v>
    <v>Finance</v>
    <v>4</v>
    <v>33.35</v>
    <v>23.7</v>
    <v>7.6999999999999999E-2</v>
    <v>0.26</v>
    <v>1.0617000000000001E-2</v>
    <v>USD</v>
    <v>The Kraft Heinz Company manufactures and markets food and beverage products around the world through its eight consumer-driven product platforms: Taste Elevation, Easy Ready Meals, Substantial Snacking, Desserts, Hydration, Cheese, Coffee, and Meats. The Company has two reportable segments defined by geographic region: North America and International Developed Markets. Its other segments, consisting of West and East Emerging Markets (WEEM) and Asia Emerging Markets (AEM), are combined and disclosed as Emerging Markets. It manufactures its products from a wide variety of raw materials. Its brands include Kraft, Oscar Mayer, Heinz, Philadelphia, Lunchables, Velveeta, Ore-Ida, Capri Sun, Maxwell Apartment, Kool-Aid, Jell-O, Heinz, Golden Circle, Wattie’s, Plasmon, Heinz, ABC, Master, Quero, Kraft, and Pudliszki, among others. The Company’s products are sold through its own sales organizations and through independent brokers, agents, and distributors.</v>
    <v>36000</v>
    <v>Nasdaq Stock Market</v>
    <v>XNAS</v>
    <v>XNAS</v>
    <v>One Ppg Place, PITTSBURGH, PA, 15222 US</v>
    <v>24.835000000000001</v>
    <v>Food &amp; Tobacco</v>
    <v>Stock</v>
    <v>45979.673360635934</v>
    <v>0</v>
    <v>24.37</v>
    <v>28987720000</v>
    <v>THE KRAFT HEINZ COMPANY</v>
    <v>THE KRAFT HEINZ COMPANY</v>
    <v>24.53</v>
    <v>0</v>
    <v>24.49</v>
    <v>24.75</v>
    <v>1183656000</v>
    <v>KHC</v>
    <v>THE KRAFT HEINZ COMPANY (XNAS:KHC)</v>
    <v>2939591</v>
    <v>18021591</v>
    <v>2013</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F0B7-1592-4C72-8B6F-57A175261C1C}">
  <sheetPr>
    <tabColor theme="1"/>
  </sheetPr>
  <dimension ref="A1:P177"/>
  <sheetViews>
    <sheetView tabSelected="1" zoomScale="124" zoomScaleNormal="190" workbookViewId="0">
      <pane xSplit="6" ySplit="1" topLeftCell="G2" activePane="bottomRight" state="frozen"/>
      <selection pane="topRight" activeCell="G1" sqref="G1"/>
      <selection pane="bottomLeft" activeCell="A2" sqref="A2"/>
      <selection pane="bottomRight" activeCell="P15" sqref="P15"/>
    </sheetView>
  </sheetViews>
  <sheetFormatPr defaultRowHeight="15" x14ac:dyDescent="0.25"/>
  <cols>
    <col min="1" max="5" width="2" customWidth="1"/>
    <col min="6" max="6" width="27.7109375" customWidth="1"/>
    <col min="7" max="9" width="7" bestFit="1" customWidth="1"/>
    <col min="10" max="14" width="8" customWidth="1"/>
  </cols>
  <sheetData>
    <row r="1" spans="1:16" x14ac:dyDescent="0.25">
      <c r="A1" t="s">
        <v>0</v>
      </c>
      <c r="G1" s="1" cm="1">
        <f t="array" ref="G1:N1">_xlfn.SEQUENCE(1,8,2022,1)</f>
        <v>2022</v>
      </c>
      <c r="H1" s="1">
        <v>2023</v>
      </c>
      <c r="I1" s="1">
        <v>2024</v>
      </c>
      <c r="J1" s="25">
        <v>2025</v>
      </c>
      <c r="K1" s="25">
        <v>2026</v>
      </c>
      <c r="L1" s="25">
        <v>2027</v>
      </c>
      <c r="M1" s="25">
        <v>2028</v>
      </c>
      <c r="N1" s="25">
        <v>2029</v>
      </c>
    </row>
    <row r="2" spans="1:16" x14ac:dyDescent="0.25">
      <c r="B2" t="s">
        <v>1</v>
      </c>
    </row>
    <row r="3" spans="1:16" x14ac:dyDescent="0.25">
      <c r="C3" t="s">
        <v>2</v>
      </c>
      <c r="G3" s="3">
        <v>8399</v>
      </c>
      <c r="H3" s="20">
        <v>8791</v>
      </c>
      <c r="I3" s="20">
        <v>9200</v>
      </c>
      <c r="J3" s="26">
        <f>+I3*(1+J7)</f>
        <v>9628.7065581053193</v>
      </c>
      <c r="K3" s="26">
        <f t="shared" ref="K3:N3" si="0">+J3*(1+K7)</f>
        <v>10077.035474835175</v>
      </c>
      <c r="L3" s="26">
        <f t="shared" si="0"/>
        <v>10546.4249756851</v>
      </c>
      <c r="M3" s="26">
        <f t="shared" si="0"/>
        <v>11037.581557048488</v>
      </c>
      <c r="N3" s="26">
        <f t="shared" si="0"/>
        <v>11551.662576895307</v>
      </c>
    </row>
    <row r="4" spans="1:16" x14ac:dyDescent="0.25">
      <c r="C4" t="s">
        <v>3</v>
      </c>
      <c r="G4" s="3">
        <v>8696</v>
      </c>
      <c r="H4" s="20">
        <v>8800</v>
      </c>
      <c r="I4" s="20">
        <v>8850</v>
      </c>
      <c r="J4" s="26">
        <f t="shared" ref="J4:N5" si="1">+I4*(1+J8)</f>
        <v>8928.0629286192179</v>
      </c>
      <c r="K4" s="26">
        <f t="shared" si="1"/>
        <v>8992.8024917293569</v>
      </c>
      <c r="L4" s="26">
        <f t="shared" si="1"/>
        <v>9065.0682655999044</v>
      </c>
      <c r="M4" s="26">
        <f t="shared" si="1"/>
        <v>9134.3580259815844</v>
      </c>
      <c r="N4" s="26">
        <f t="shared" si="1"/>
        <v>9205.9693718225717</v>
      </c>
    </row>
    <row r="5" spans="1:16" x14ac:dyDescent="0.25">
      <c r="C5" t="s">
        <v>4</v>
      </c>
      <c r="G5" s="3">
        <v>8366</v>
      </c>
      <c r="H5" s="20">
        <v>8657</v>
      </c>
      <c r="I5" s="20">
        <v>8900</v>
      </c>
      <c r="J5" s="26">
        <f t="shared" si="1"/>
        <v>9179.6977111131309</v>
      </c>
      <c r="K5" s="26">
        <f t="shared" si="1"/>
        <v>9452.7775582719223</v>
      </c>
      <c r="L5" s="26">
        <f t="shared" si="1"/>
        <v>9741.9141495365948</v>
      </c>
      <c r="M5" s="26">
        <f t="shared" si="1"/>
        <v>10035.806822449875</v>
      </c>
      <c r="N5" s="26">
        <f t="shared" si="1"/>
        <v>10340.671206939653</v>
      </c>
      <c r="P5" s="26"/>
    </row>
    <row r="6" spans="1:16" x14ac:dyDescent="0.25">
      <c r="B6" t="s">
        <v>5</v>
      </c>
      <c r="G6" s="3"/>
      <c r="H6" s="20"/>
      <c r="I6" s="20"/>
      <c r="J6" s="3"/>
      <c r="K6" s="3"/>
      <c r="L6" s="3"/>
    </row>
    <row r="7" spans="1:16" x14ac:dyDescent="0.25">
      <c r="C7" t="str" cm="1">
        <f t="array" ref="C7:C9">+C3:C5</f>
        <v>Foot Solutions</v>
      </c>
      <c r="G7" s="3"/>
      <c r="H7" s="23">
        <f>+H3/G3-1</f>
        <v>4.6672222883676673E-2</v>
      </c>
      <c r="I7" s="23">
        <f>+I3/H3-1</f>
        <v>4.6524854965305451E-2</v>
      </c>
      <c r="J7" s="8">
        <f>AVERAGE(H7:I7)</f>
        <v>4.6598538924491062E-2</v>
      </c>
      <c r="K7" s="8">
        <f t="shared" ref="K7:N9" si="2">AVERAGE(I7:J7)</f>
        <v>4.6561696944898257E-2</v>
      </c>
      <c r="L7" s="8">
        <f t="shared" si="2"/>
        <v>4.6580117934694659E-2</v>
      </c>
      <c r="M7" s="8">
        <f t="shared" si="2"/>
        <v>4.6570907439796458E-2</v>
      </c>
      <c r="N7" s="8">
        <f t="shared" si="2"/>
        <v>4.6575512687245559E-2</v>
      </c>
    </row>
    <row r="8" spans="1:16" x14ac:dyDescent="0.25">
      <c r="C8" t="str">
        <v>Greeting Fulfillments</v>
      </c>
      <c r="G8" s="3"/>
      <c r="H8" s="23">
        <f t="shared" ref="H8:I9" si="3">+H4/G4-1</f>
        <v>1.1959521619135272E-2</v>
      </c>
      <c r="I8" s="23">
        <f t="shared" si="3"/>
        <v>5.6818181818181213E-3</v>
      </c>
      <c r="J8" s="8">
        <f t="shared" ref="J8:J9" si="4">AVERAGE(H8:I8)</f>
        <v>8.8206699004766964E-3</v>
      </c>
      <c r="K8" s="8">
        <f t="shared" si="2"/>
        <v>7.2512440411474088E-3</v>
      </c>
      <c r="L8" s="8">
        <f t="shared" si="2"/>
        <v>8.0359569708120526E-3</v>
      </c>
      <c r="M8" s="8">
        <f t="shared" si="2"/>
        <v>7.6436005059797307E-3</v>
      </c>
      <c r="N8" s="8">
        <f t="shared" si="2"/>
        <v>7.8397787383958917E-3</v>
      </c>
    </row>
    <row r="9" spans="1:16" x14ac:dyDescent="0.25">
      <c r="C9" t="str">
        <v>Legendwear</v>
      </c>
      <c r="G9" s="3"/>
      <c r="H9" s="23">
        <f t="shared" si="3"/>
        <v>3.4783648099450115E-2</v>
      </c>
      <c r="I9" s="23">
        <f t="shared" si="3"/>
        <v>2.8069770128219984E-2</v>
      </c>
      <c r="J9" s="8">
        <f t="shared" si="4"/>
        <v>3.142670911383505E-2</v>
      </c>
      <c r="K9" s="8">
        <f t="shared" si="2"/>
        <v>2.9748239621027517E-2</v>
      </c>
      <c r="L9" s="8">
        <f t="shared" si="2"/>
        <v>3.0587474367431283E-2</v>
      </c>
      <c r="M9" s="8">
        <f t="shared" si="2"/>
        <v>3.01678569942294E-2</v>
      </c>
      <c r="N9" s="8">
        <f t="shared" si="2"/>
        <v>3.0377665680830342E-2</v>
      </c>
    </row>
    <row r="10" spans="1:16" x14ac:dyDescent="0.25">
      <c r="B10" t="s">
        <v>6</v>
      </c>
      <c r="G10" s="3"/>
      <c r="H10" s="20"/>
      <c r="I10" s="20"/>
      <c r="J10" s="3"/>
      <c r="K10" s="3"/>
      <c r="L10" s="3"/>
    </row>
    <row r="11" spans="1:16" x14ac:dyDescent="0.25">
      <c r="C11" t="str" cm="1">
        <f t="array" ref="C11:C13">+C3:C5</f>
        <v>Foot Solutions</v>
      </c>
      <c r="G11" s="4">
        <v>0.52854836417072271</v>
      </c>
      <c r="H11" s="24">
        <v>0.5194553187608536</v>
      </c>
      <c r="I11" s="24">
        <v>0.52962561139759468</v>
      </c>
      <c r="J11" s="27">
        <f>AVERAGE(G11:I11)</f>
        <v>0.52587643144305696</v>
      </c>
      <c r="K11" s="27">
        <f t="shared" ref="K11:N13" si="5">AVERAGE(H11:J11)</f>
        <v>0.52498578720050171</v>
      </c>
      <c r="L11" s="27">
        <f t="shared" si="5"/>
        <v>0.52682927668038448</v>
      </c>
      <c r="M11" s="27">
        <f t="shared" si="5"/>
        <v>0.52589716510798112</v>
      </c>
      <c r="N11" s="27">
        <f t="shared" si="5"/>
        <v>0.52590407632962244</v>
      </c>
    </row>
    <row r="12" spans="1:16" x14ac:dyDescent="0.25">
      <c r="C12" t="str">
        <v>Greeting Fulfillments</v>
      </c>
      <c r="G12" s="4">
        <v>0.54951211586347426</v>
      </c>
      <c r="H12" s="24">
        <v>0.50621254781209779</v>
      </c>
      <c r="I12" s="24">
        <v>0.54249378241668467</v>
      </c>
      <c r="J12" s="27">
        <f t="shared" ref="J12:J13" si="6">AVERAGE(G12:I12)</f>
        <v>0.53273948203075217</v>
      </c>
      <c r="K12" s="27">
        <f t="shared" si="5"/>
        <v>0.52714860408651154</v>
      </c>
      <c r="L12" s="27">
        <f t="shared" si="5"/>
        <v>0.53412728951131605</v>
      </c>
      <c r="M12" s="27">
        <f t="shared" si="5"/>
        <v>0.53133845854285988</v>
      </c>
      <c r="N12" s="27">
        <f t="shared" si="5"/>
        <v>0.53087145071356245</v>
      </c>
    </row>
    <row r="13" spans="1:16" x14ac:dyDescent="0.25">
      <c r="C13" t="str">
        <v>Legendwear</v>
      </c>
      <c r="G13" s="4">
        <v>0.50169647794478178</v>
      </c>
      <c r="H13" s="24">
        <v>0.51854695978673515</v>
      </c>
      <c r="I13" s="24">
        <v>0.53504035458789467</v>
      </c>
      <c r="J13" s="27">
        <f t="shared" si="6"/>
        <v>0.5184279307731372</v>
      </c>
      <c r="K13" s="27">
        <f t="shared" si="5"/>
        <v>0.52400508171592231</v>
      </c>
      <c r="L13" s="27">
        <f t="shared" si="5"/>
        <v>0.52582445569231806</v>
      </c>
      <c r="M13" s="27">
        <f t="shared" si="5"/>
        <v>0.5227524893937926</v>
      </c>
      <c r="N13" s="27">
        <f t="shared" si="5"/>
        <v>0.52419400893401102</v>
      </c>
    </row>
    <row r="14" spans="1:16" x14ac:dyDescent="0.25">
      <c r="B14" t="s">
        <v>7</v>
      </c>
      <c r="G14" s="3"/>
      <c r="H14" s="20"/>
      <c r="I14" s="20"/>
      <c r="J14" s="3"/>
      <c r="K14" s="3"/>
      <c r="L14" s="3"/>
    </row>
    <row r="15" spans="1:16" x14ac:dyDescent="0.25">
      <c r="C15" t="s">
        <v>8</v>
      </c>
      <c r="G15" s="8">
        <v>4.5201409593245243E-2</v>
      </c>
      <c r="H15" s="23">
        <v>4.1519681992051187E-2</v>
      </c>
      <c r="I15" s="23">
        <v>4.1485585113035905E-2</v>
      </c>
      <c r="J15" s="27">
        <f t="shared" ref="J15:J19" si="7">AVERAGE(G15:I15)</f>
        <v>4.2735558899444109E-2</v>
      </c>
      <c r="K15" s="27">
        <f t="shared" ref="K15:K19" si="8">AVERAGE(H15:J15)</f>
        <v>4.1913608668177067E-2</v>
      </c>
      <c r="L15" s="27">
        <f t="shared" ref="L15:L19" si="9">AVERAGE(I15:K15)</f>
        <v>4.2044917560219025E-2</v>
      </c>
      <c r="M15" s="27">
        <f t="shared" ref="M15:M19" si="10">AVERAGE(J15:L15)</f>
        <v>4.2231361709280067E-2</v>
      </c>
      <c r="N15" s="27">
        <f t="shared" ref="N15:N19" si="11">AVERAGE(K15:M15)</f>
        <v>4.2063295979225389E-2</v>
      </c>
    </row>
    <row r="16" spans="1:16" x14ac:dyDescent="0.25">
      <c r="C16" t="s">
        <v>9</v>
      </c>
      <c r="G16" s="8">
        <v>3.9664352979264857E-2</v>
      </c>
      <c r="H16" s="23">
        <v>4.8252510269861749E-2</v>
      </c>
      <c r="I16" s="23">
        <v>4.2862899628605206E-2</v>
      </c>
      <c r="J16" s="27">
        <f t="shared" si="7"/>
        <v>4.3593254292577266E-2</v>
      </c>
      <c r="K16" s="27">
        <f t="shared" si="8"/>
        <v>4.4902888063681402E-2</v>
      </c>
      <c r="L16" s="27">
        <f t="shared" si="9"/>
        <v>4.3786347328287956E-2</v>
      </c>
      <c r="M16" s="27">
        <f t="shared" si="10"/>
        <v>4.4094163228182208E-2</v>
      </c>
      <c r="N16" s="27">
        <f t="shared" si="11"/>
        <v>4.4261132873383853E-2</v>
      </c>
    </row>
    <row r="17" spans="2:14" x14ac:dyDescent="0.25">
      <c r="C17" t="s">
        <v>10</v>
      </c>
      <c r="G17" s="8">
        <v>3.0733282245427887E-2</v>
      </c>
      <c r="H17" s="23">
        <v>3.7306793650625385E-2</v>
      </c>
      <c r="I17" s="23">
        <v>4.1556613459003598E-2</v>
      </c>
      <c r="J17" s="27">
        <f t="shared" si="7"/>
        <v>3.6532229785018959E-2</v>
      </c>
      <c r="K17" s="27">
        <f t="shared" si="8"/>
        <v>3.8465212298215978E-2</v>
      </c>
      <c r="L17" s="27">
        <f t="shared" si="9"/>
        <v>3.8851351847412847E-2</v>
      </c>
      <c r="M17" s="27">
        <f t="shared" si="10"/>
        <v>3.7949597976882597E-2</v>
      </c>
      <c r="N17" s="27">
        <f t="shared" si="11"/>
        <v>3.8422054040837143E-2</v>
      </c>
    </row>
    <row r="18" spans="2:14" x14ac:dyDescent="0.25">
      <c r="C18" t="s">
        <v>11</v>
      </c>
      <c r="G18" s="8">
        <v>3.1545545518032389E-2</v>
      </c>
      <c r="H18" s="23">
        <v>3.7579353363473476E-2</v>
      </c>
      <c r="I18" s="23">
        <v>3.6485053409750758E-2</v>
      </c>
      <c r="J18" s="27">
        <f t="shared" si="7"/>
        <v>3.5203317430418872E-2</v>
      </c>
      <c r="K18" s="27">
        <f t="shared" si="8"/>
        <v>3.6422574734547707E-2</v>
      </c>
      <c r="L18" s="27">
        <f t="shared" si="9"/>
        <v>3.6036981858239114E-2</v>
      </c>
      <c r="M18" s="27">
        <f t="shared" si="10"/>
        <v>3.5887624674401895E-2</v>
      </c>
      <c r="N18" s="27">
        <f t="shared" si="11"/>
        <v>3.611572708906291E-2</v>
      </c>
    </row>
    <row r="19" spans="2:14" x14ac:dyDescent="0.25">
      <c r="C19" t="s">
        <v>12</v>
      </c>
      <c r="G19" s="8">
        <v>3.7692894294469433E-2</v>
      </c>
      <c r="H19" s="23">
        <v>4.6375124233892735E-2</v>
      </c>
      <c r="I19" s="23">
        <v>3.367032862835715E-2</v>
      </c>
      <c r="J19" s="27">
        <f t="shared" si="7"/>
        <v>3.9246115718906439E-2</v>
      </c>
      <c r="K19" s="27">
        <f t="shared" si="8"/>
        <v>3.9763856193718777E-2</v>
      </c>
      <c r="L19" s="27">
        <f t="shared" si="9"/>
        <v>3.7560100180327453E-2</v>
      </c>
      <c r="M19" s="27">
        <f t="shared" si="10"/>
        <v>3.8856690697650888E-2</v>
      </c>
      <c r="N19" s="27">
        <f t="shared" si="11"/>
        <v>3.8726882357232373E-2</v>
      </c>
    </row>
    <row r="20" spans="2:14" x14ac:dyDescent="0.25">
      <c r="C20" t="s">
        <v>13</v>
      </c>
      <c r="G20" s="3">
        <v>1000</v>
      </c>
      <c r="H20" s="3">
        <f t="shared" ref="H20:J21" si="12">+G20</f>
        <v>1000</v>
      </c>
      <c r="I20" s="3">
        <f t="shared" si="12"/>
        <v>1000</v>
      </c>
      <c r="J20" s="3">
        <f t="shared" si="12"/>
        <v>1000</v>
      </c>
      <c r="K20" s="3">
        <v>1000</v>
      </c>
      <c r="L20" s="3">
        <f t="shared" ref="L20:N20" si="13">+K20</f>
        <v>1000</v>
      </c>
      <c r="M20" s="3">
        <f t="shared" si="13"/>
        <v>1000</v>
      </c>
      <c r="N20" s="3">
        <f t="shared" si="13"/>
        <v>1000</v>
      </c>
    </row>
    <row r="21" spans="2:14" x14ac:dyDescent="0.25">
      <c r="C21" t="s">
        <v>14</v>
      </c>
      <c r="G21" s="3">
        <v>250</v>
      </c>
      <c r="H21" s="3">
        <f t="shared" si="12"/>
        <v>250</v>
      </c>
      <c r="I21" s="3">
        <f t="shared" si="12"/>
        <v>250</v>
      </c>
      <c r="J21" s="3">
        <f>+I21+LBO.Goodwill/20</f>
        <v>2476.6996626755363</v>
      </c>
      <c r="K21" s="3">
        <f t="shared" ref="K21:N21" si="14">+J21</f>
        <v>2476.6996626755363</v>
      </c>
      <c r="L21" s="3">
        <f t="shared" si="14"/>
        <v>2476.6996626755363</v>
      </c>
      <c r="M21" s="3">
        <f t="shared" si="14"/>
        <v>2476.6996626755363</v>
      </c>
      <c r="N21" s="3">
        <f t="shared" si="14"/>
        <v>2476.6996626755363</v>
      </c>
    </row>
    <row r="22" spans="2:14" x14ac:dyDescent="0.25">
      <c r="B22" t="s">
        <v>15</v>
      </c>
      <c r="G22" s="4">
        <v>0.21</v>
      </c>
      <c r="H22" s="3"/>
      <c r="I22" s="3"/>
      <c r="J22" s="3"/>
      <c r="K22" s="3"/>
      <c r="L22" s="3"/>
    </row>
    <row r="23" spans="2:14" x14ac:dyDescent="0.25">
      <c r="B23" t="s">
        <v>16</v>
      </c>
      <c r="G23" s="3">
        <v>1500</v>
      </c>
      <c r="H23" s="3">
        <f t="shared" ref="H23:I24" si="15">+G23</f>
        <v>1500</v>
      </c>
      <c r="I23" s="3">
        <f t="shared" si="15"/>
        <v>1500</v>
      </c>
      <c r="J23" s="26">
        <v>0</v>
      </c>
      <c r="K23" s="26">
        <f t="shared" ref="K23:N24" si="16">+J23</f>
        <v>0</v>
      </c>
      <c r="L23" s="26">
        <f t="shared" si="16"/>
        <v>0</v>
      </c>
      <c r="M23" s="26">
        <f t="shared" si="16"/>
        <v>0</v>
      </c>
      <c r="N23" s="26">
        <f t="shared" si="16"/>
        <v>0</v>
      </c>
    </row>
    <row r="24" spans="2:14" x14ac:dyDescent="0.25">
      <c r="B24" t="s">
        <v>17</v>
      </c>
      <c r="G24" s="3">
        <v>500</v>
      </c>
      <c r="H24" s="3">
        <f t="shared" si="15"/>
        <v>500</v>
      </c>
      <c r="I24" s="3">
        <f t="shared" si="15"/>
        <v>500</v>
      </c>
      <c r="J24" s="26">
        <v>0</v>
      </c>
      <c r="K24" s="26">
        <f t="shared" si="16"/>
        <v>0</v>
      </c>
      <c r="L24" s="26">
        <f t="shared" si="16"/>
        <v>0</v>
      </c>
      <c r="M24" s="26">
        <f t="shared" si="16"/>
        <v>0</v>
      </c>
      <c r="N24" s="26">
        <f t="shared" si="16"/>
        <v>0</v>
      </c>
    </row>
    <row r="25" spans="2:14" x14ac:dyDescent="0.25">
      <c r="B25" t="s">
        <v>18</v>
      </c>
      <c r="G25" s="3"/>
      <c r="H25" s="3"/>
      <c r="I25" s="3"/>
      <c r="J25" s="3"/>
      <c r="K25" s="3"/>
      <c r="L25" s="3"/>
    </row>
    <row r="26" spans="2:14" x14ac:dyDescent="0.25">
      <c r="C26" t="s">
        <v>19</v>
      </c>
      <c r="G26" s="3"/>
      <c r="H26" s="3"/>
      <c r="I26" s="3"/>
      <c r="J26" s="3"/>
      <c r="K26" s="3"/>
      <c r="L26" s="3"/>
    </row>
    <row r="27" spans="2:14" x14ac:dyDescent="0.25">
      <c r="D27" t="s">
        <v>20</v>
      </c>
      <c r="G27" s="3">
        <v>60</v>
      </c>
      <c r="H27" s="3">
        <f t="shared" ref="H27:I29" si="17">+G27</f>
        <v>60</v>
      </c>
      <c r="I27" s="3">
        <f t="shared" si="17"/>
        <v>60</v>
      </c>
      <c r="J27" s="36">
        <v>58</v>
      </c>
      <c r="K27" s="36">
        <v>58</v>
      </c>
      <c r="L27" s="36">
        <v>56</v>
      </c>
      <c r="M27" s="36">
        <v>56</v>
      </c>
      <c r="N27" s="36">
        <v>54</v>
      </c>
    </row>
    <row r="28" spans="2:14" x14ac:dyDescent="0.25">
      <c r="D28" t="s">
        <v>21</v>
      </c>
      <c r="G28" s="3">
        <v>32</v>
      </c>
      <c r="H28" s="3">
        <f t="shared" si="17"/>
        <v>32</v>
      </c>
      <c r="I28" s="3">
        <f t="shared" si="17"/>
        <v>32</v>
      </c>
      <c r="J28" s="36">
        <v>30</v>
      </c>
      <c r="K28" s="36">
        <v>30</v>
      </c>
      <c r="L28" s="36">
        <v>28</v>
      </c>
      <c r="M28" s="36">
        <v>28</v>
      </c>
      <c r="N28" s="36">
        <v>26</v>
      </c>
    </row>
    <row r="29" spans="2:14" x14ac:dyDescent="0.25">
      <c r="D29" t="s">
        <v>22</v>
      </c>
      <c r="G29" s="4">
        <v>0.03</v>
      </c>
      <c r="H29" s="4">
        <f t="shared" si="17"/>
        <v>0.03</v>
      </c>
      <c r="I29" s="4">
        <f t="shared" si="17"/>
        <v>0.03</v>
      </c>
      <c r="J29" s="125">
        <f t="shared" ref="J29:N32" si="18">+I29</f>
        <v>0.03</v>
      </c>
      <c r="K29" s="125">
        <f t="shared" si="18"/>
        <v>0.03</v>
      </c>
      <c r="L29" s="125">
        <f t="shared" si="18"/>
        <v>0.03</v>
      </c>
      <c r="M29" s="125">
        <f t="shared" si="18"/>
        <v>0.03</v>
      </c>
      <c r="N29" s="125">
        <f t="shared" si="18"/>
        <v>0.03</v>
      </c>
    </row>
    <row r="30" spans="2:14" x14ac:dyDescent="0.25">
      <c r="D30" t="s">
        <v>23</v>
      </c>
      <c r="G30" s="3">
        <v>35</v>
      </c>
      <c r="H30" s="3">
        <f t="shared" ref="H30" si="19">+G30</f>
        <v>35</v>
      </c>
      <c r="I30" s="3">
        <f t="shared" ref="I30:I31" si="20">+H30</f>
        <v>35</v>
      </c>
      <c r="J30" s="36">
        <f t="shared" si="18"/>
        <v>35</v>
      </c>
      <c r="K30" s="36">
        <v>37</v>
      </c>
      <c r="L30" s="36">
        <f t="shared" si="18"/>
        <v>37</v>
      </c>
      <c r="M30" s="36">
        <v>39</v>
      </c>
      <c r="N30" s="36">
        <f t="shared" si="18"/>
        <v>39</v>
      </c>
    </row>
    <row r="31" spans="2:14" x14ac:dyDescent="0.25">
      <c r="D31" t="s">
        <v>24</v>
      </c>
      <c r="G31" s="4">
        <v>0.03</v>
      </c>
      <c r="H31" s="4">
        <f>+G31</f>
        <v>0.03</v>
      </c>
      <c r="I31" s="4">
        <f t="shared" si="20"/>
        <v>0.03</v>
      </c>
      <c r="J31" s="125">
        <f t="shared" si="18"/>
        <v>0.03</v>
      </c>
      <c r="K31" s="125">
        <f t="shared" si="18"/>
        <v>0.03</v>
      </c>
      <c r="L31" s="125">
        <f t="shared" si="18"/>
        <v>0.03</v>
      </c>
      <c r="M31" s="125">
        <f t="shared" si="18"/>
        <v>0.03</v>
      </c>
      <c r="N31" s="125">
        <f t="shared" si="18"/>
        <v>0.03</v>
      </c>
    </row>
    <row r="32" spans="2:14" x14ac:dyDescent="0.25">
      <c r="C32" t="s">
        <v>25</v>
      </c>
      <c r="G32" s="3"/>
      <c r="H32" s="3">
        <v>2500</v>
      </c>
      <c r="I32" s="3">
        <f>+H32</f>
        <v>2500</v>
      </c>
      <c r="J32" s="36">
        <v>1750</v>
      </c>
      <c r="K32" s="36">
        <f>+J32</f>
        <v>1750</v>
      </c>
      <c r="L32" s="36">
        <v>1500</v>
      </c>
      <c r="M32" s="36">
        <f>+L32</f>
        <v>1500</v>
      </c>
      <c r="N32" s="36">
        <f t="shared" si="18"/>
        <v>1500</v>
      </c>
    </row>
    <row r="33" spans="3:12" x14ac:dyDescent="0.25">
      <c r="C33" t="s">
        <v>26</v>
      </c>
      <c r="G33" s="3">
        <v>6000</v>
      </c>
      <c r="H33" s="3"/>
      <c r="I33" s="3"/>
      <c r="J33" s="3"/>
      <c r="K33" s="3"/>
      <c r="L33" s="3"/>
    </row>
    <row r="34" spans="3:12" x14ac:dyDescent="0.25">
      <c r="C34" t="s">
        <v>27</v>
      </c>
      <c r="G34" s="3">
        <v>1500</v>
      </c>
      <c r="H34" s="3"/>
      <c r="I34" s="3"/>
      <c r="J34" s="3"/>
      <c r="K34" s="3"/>
      <c r="L34" s="3"/>
    </row>
    <row r="35" spans="3:12" x14ac:dyDescent="0.25">
      <c r="C35" t="s">
        <v>28</v>
      </c>
      <c r="G35" s="3">
        <v>2000</v>
      </c>
      <c r="H35" s="3"/>
      <c r="I35" s="3"/>
      <c r="J35" s="3"/>
      <c r="K35" s="3"/>
      <c r="L35" s="3"/>
    </row>
    <row r="36" spans="3:12" x14ac:dyDescent="0.25">
      <c r="C36" t="s">
        <v>29</v>
      </c>
      <c r="G36" s="3">
        <v>4500</v>
      </c>
      <c r="H36" s="3"/>
      <c r="I36" s="3"/>
      <c r="J36" s="3"/>
      <c r="K36" s="3"/>
      <c r="L36" s="3"/>
    </row>
    <row r="37" spans="3:12" x14ac:dyDescent="0.25">
      <c r="G37" s="3"/>
      <c r="H37" s="3"/>
      <c r="I37" s="3"/>
      <c r="J37" s="3"/>
      <c r="K37" s="3"/>
      <c r="L37" s="3"/>
    </row>
    <row r="38" spans="3:12" x14ac:dyDescent="0.25">
      <c r="G38" s="3"/>
      <c r="H38" s="3"/>
      <c r="I38" s="3"/>
      <c r="J38" s="3"/>
      <c r="K38" s="3"/>
      <c r="L38" s="3"/>
    </row>
    <row r="39" spans="3:12" x14ac:dyDescent="0.25">
      <c r="G39" s="3"/>
      <c r="H39" s="3"/>
      <c r="I39" s="3"/>
      <c r="J39" s="3"/>
      <c r="K39" s="3"/>
      <c r="L39" s="3"/>
    </row>
    <row r="40" spans="3:12" x14ac:dyDescent="0.25">
      <c r="G40" s="3"/>
      <c r="H40" s="3"/>
      <c r="I40" s="3"/>
      <c r="J40" s="3"/>
      <c r="K40" s="3"/>
      <c r="L40" s="3"/>
    </row>
    <row r="41" spans="3:12" x14ac:dyDescent="0.25">
      <c r="G41" s="3"/>
      <c r="H41" s="3"/>
      <c r="I41" s="3"/>
      <c r="J41" s="3"/>
      <c r="K41" s="3"/>
      <c r="L41" s="3"/>
    </row>
    <row r="42" spans="3:12" x14ac:dyDescent="0.25">
      <c r="G42" s="3"/>
      <c r="H42" s="3"/>
      <c r="I42" s="3"/>
      <c r="J42" s="3"/>
      <c r="K42" s="3"/>
      <c r="L42" s="3"/>
    </row>
    <row r="43" spans="3:12" x14ac:dyDescent="0.25">
      <c r="G43" s="3"/>
      <c r="H43" s="3"/>
      <c r="I43" s="3"/>
      <c r="J43" s="3"/>
      <c r="K43" s="3"/>
      <c r="L43" s="3"/>
    </row>
    <row r="44" spans="3:12" x14ac:dyDescent="0.25">
      <c r="G44" s="3"/>
      <c r="H44" s="3"/>
      <c r="I44" s="3"/>
      <c r="J44" s="3"/>
      <c r="K44" s="3"/>
      <c r="L44" s="3"/>
    </row>
    <row r="45" spans="3:12" x14ac:dyDescent="0.25">
      <c r="G45" s="3"/>
      <c r="H45" s="3"/>
      <c r="I45" s="3"/>
      <c r="J45" s="3"/>
      <c r="K45" s="3"/>
      <c r="L45" s="3"/>
    </row>
    <row r="46" spans="3:12" x14ac:dyDescent="0.25">
      <c r="G46" s="3"/>
      <c r="H46" s="3"/>
      <c r="I46" s="3"/>
      <c r="J46" s="3"/>
      <c r="K46" s="3"/>
      <c r="L46" s="3"/>
    </row>
    <row r="47" spans="3:12" x14ac:dyDescent="0.25">
      <c r="G47" s="3"/>
      <c r="H47" s="3"/>
      <c r="I47" s="3"/>
      <c r="J47" s="3"/>
      <c r="K47" s="3"/>
      <c r="L47" s="3"/>
    </row>
    <row r="48" spans="3:12" x14ac:dyDescent="0.25">
      <c r="G48" s="3"/>
      <c r="H48" s="3"/>
      <c r="I48" s="3"/>
      <c r="J48" s="3"/>
      <c r="K48" s="3"/>
      <c r="L48" s="3"/>
    </row>
    <row r="49" spans="7:12" x14ac:dyDescent="0.25">
      <c r="G49" s="3"/>
      <c r="H49" s="3"/>
      <c r="I49" s="3"/>
      <c r="J49" s="3"/>
      <c r="K49" s="3"/>
      <c r="L49" s="3"/>
    </row>
    <row r="50" spans="7:12" x14ac:dyDescent="0.25">
      <c r="G50" s="3"/>
      <c r="H50" s="3"/>
      <c r="I50" s="3"/>
      <c r="J50" s="3"/>
      <c r="K50" s="3"/>
      <c r="L50" s="3"/>
    </row>
    <row r="51" spans="7:12" x14ac:dyDescent="0.25">
      <c r="G51" s="3"/>
      <c r="H51" s="3"/>
      <c r="I51" s="3"/>
      <c r="J51" s="3"/>
      <c r="K51" s="3"/>
      <c r="L51" s="3"/>
    </row>
    <row r="52" spans="7:12" x14ac:dyDescent="0.25">
      <c r="G52" s="3"/>
      <c r="H52" s="3"/>
      <c r="I52" s="3"/>
      <c r="J52" s="3"/>
      <c r="K52" s="3"/>
      <c r="L52" s="3"/>
    </row>
    <row r="53" spans="7:12" x14ac:dyDescent="0.25">
      <c r="G53" s="3"/>
      <c r="H53" s="3"/>
      <c r="I53" s="3"/>
      <c r="J53" s="3"/>
      <c r="K53" s="3"/>
      <c r="L53" s="3"/>
    </row>
    <row r="54" spans="7:12" x14ac:dyDescent="0.25">
      <c r="G54" s="3"/>
      <c r="H54" s="3"/>
      <c r="I54" s="3"/>
      <c r="J54" s="3"/>
      <c r="K54" s="3"/>
      <c r="L54" s="3"/>
    </row>
    <row r="55" spans="7:12" x14ac:dyDescent="0.25">
      <c r="G55" s="3"/>
      <c r="H55" s="3"/>
      <c r="I55" s="3"/>
      <c r="J55" s="3"/>
      <c r="K55" s="3"/>
      <c r="L55" s="3"/>
    </row>
    <row r="56" spans="7:12" x14ac:dyDescent="0.25">
      <c r="G56" s="3"/>
      <c r="H56" s="3"/>
      <c r="I56" s="3"/>
      <c r="J56" s="3"/>
      <c r="K56" s="3"/>
      <c r="L56" s="3"/>
    </row>
    <row r="57" spans="7:12" x14ac:dyDescent="0.25">
      <c r="G57" s="3"/>
      <c r="H57" s="3"/>
      <c r="I57" s="3"/>
      <c r="J57" s="3"/>
      <c r="K57" s="3"/>
      <c r="L57" s="3"/>
    </row>
    <row r="58" spans="7:12" x14ac:dyDescent="0.25">
      <c r="G58" s="3"/>
      <c r="H58" s="3"/>
      <c r="I58" s="3"/>
      <c r="J58" s="3"/>
      <c r="K58" s="3"/>
      <c r="L58" s="3"/>
    </row>
    <row r="59" spans="7:12" x14ac:dyDescent="0.25">
      <c r="G59" s="3"/>
      <c r="H59" s="3"/>
      <c r="I59" s="3"/>
      <c r="J59" s="3"/>
      <c r="K59" s="3"/>
      <c r="L59" s="3"/>
    </row>
    <row r="60" spans="7:12" x14ac:dyDescent="0.25">
      <c r="G60" s="3"/>
      <c r="H60" s="3"/>
      <c r="I60" s="3"/>
      <c r="J60" s="3"/>
      <c r="K60" s="3"/>
      <c r="L60" s="3"/>
    </row>
    <row r="61" spans="7:12" x14ac:dyDescent="0.25">
      <c r="G61" s="3"/>
      <c r="H61" s="3"/>
      <c r="I61" s="3"/>
      <c r="J61" s="3"/>
      <c r="K61" s="3"/>
      <c r="L61" s="3"/>
    </row>
    <row r="62" spans="7:12" x14ac:dyDescent="0.25">
      <c r="G62" s="3"/>
      <c r="H62" s="3"/>
      <c r="I62" s="3"/>
      <c r="J62" s="3"/>
      <c r="K62" s="3"/>
      <c r="L62" s="3"/>
    </row>
    <row r="63" spans="7:12" x14ac:dyDescent="0.25">
      <c r="G63" s="3"/>
      <c r="H63" s="3"/>
      <c r="I63" s="3"/>
      <c r="J63" s="3"/>
      <c r="K63" s="3"/>
      <c r="L63" s="3"/>
    </row>
    <row r="64" spans="7:12" x14ac:dyDescent="0.25">
      <c r="G64" s="3"/>
      <c r="H64" s="3"/>
      <c r="I64" s="3"/>
      <c r="J64" s="3"/>
      <c r="K64" s="3"/>
      <c r="L64" s="3"/>
    </row>
    <row r="65" spans="7:12" x14ac:dyDescent="0.25">
      <c r="G65" s="3"/>
      <c r="H65" s="3"/>
      <c r="I65" s="3"/>
      <c r="J65" s="3"/>
      <c r="K65" s="3"/>
      <c r="L65" s="3"/>
    </row>
    <row r="66" spans="7:12" x14ac:dyDescent="0.25">
      <c r="G66" s="3"/>
      <c r="H66" s="3"/>
      <c r="I66" s="3"/>
      <c r="J66" s="3"/>
      <c r="K66" s="3"/>
      <c r="L66" s="3"/>
    </row>
    <row r="67" spans="7:12" x14ac:dyDescent="0.25">
      <c r="G67" s="3"/>
      <c r="H67" s="3"/>
      <c r="I67" s="3"/>
      <c r="J67" s="3"/>
      <c r="K67" s="3"/>
      <c r="L67" s="3"/>
    </row>
    <row r="68" spans="7:12" x14ac:dyDescent="0.25">
      <c r="G68" s="3"/>
      <c r="H68" s="3"/>
      <c r="I68" s="3"/>
      <c r="J68" s="3"/>
      <c r="K68" s="3"/>
      <c r="L68" s="3"/>
    </row>
    <row r="69" spans="7:12" x14ac:dyDescent="0.25">
      <c r="G69" s="3"/>
      <c r="H69" s="3"/>
      <c r="I69" s="3"/>
      <c r="J69" s="3"/>
      <c r="K69" s="3"/>
      <c r="L69" s="3"/>
    </row>
    <row r="70" spans="7:12" x14ac:dyDescent="0.25">
      <c r="G70" s="3"/>
      <c r="H70" s="3"/>
      <c r="I70" s="3"/>
      <c r="J70" s="3"/>
      <c r="K70" s="3"/>
      <c r="L70" s="3"/>
    </row>
    <row r="71" spans="7:12" x14ac:dyDescent="0.25">
      <c r="G71" s="3"/>
      <c r="H71" s="3"/>
      <c r="I71" s="3"/>
      <c r="J71" s="3"/>
      <c r="K71" s="3"/>
      <c r="L71" s="3"/>
    </row>
    <row r="72" spans="7:12" x14ac:dyDescent="0.25">
      <c r="G72" s="3"/>
      <c r="H72" s="3"/>
      <c r="I72" s="3"/>
      <c r="J72" s="3"/>
      <c r="K72" s="3"/>
      <c r="L72" s="3"/>
    </row>
    <row r="73" spans="7:12" x14ac:dyDescent="0.25">
      <c r="G73" s="3"/>
      <c r="H73" s="3"/>
      <c r="I73" s="3"/>
      <c r="J73" s="3"/>
      <c r="K73" s="3"/>
      <c r="L73" s="3"/>
    </row>
    <row r="74" spans="7:12" x14ac:dyDescent="0.25">
      <c r="G74" s="3"/>
      <c r="H74" s="3"/>
      <c r="I74" s="3"/>
      <c r="J74" s="3"/>
      <c r="K74" s="3"/>
      <c r="L74" s="3"/>
    </row>
    <row r="75" spans="7:12" x14ac:dyDescent="0.25">
      <c r="G75" s="3"/>
      <c r="H75" s="3"/>
      <c r="I75" s="3"/>
      <c r="J75" s="3"/>
      <c r="K75" s="3"/>
      <c r="L75" s="3"/>
    </row>
    <row r="76" spans="7:12" x14ac:dyDescent="0.25">
      <c r="G76" s="3"/>
      <c r="H76" s="3"/>
      <c r="I76" s="3"/>
      <c r="J76" s="3"/>
      <c r="K76" s="3"/>
      <c r="L76" s="3"/>
    </row>
    <row r="77" spans="7:12" x14ac:dyDescent="0.25">
      <c r="G77" s="3"/>
      <c r="H77" s="3"/>
      <c r="I77" s="3"/>
      <c r="J77" s="3"/>
      <c r="K77" s="3"/>
      <c r="L77" s="3"/>
    </row>
    <row r="78" spans="7:12" x14ac:dyDescent="0.25">
      <c r="G78" s="3"/>
      <c r="H78" s="3"/>
      <c r="I78" s="3"/>
      <c r="J78" s="3"/>
      <c r="K78" s="3"/>
      <c r="L78" s="3"/>
    </row>
    <row r="79" spans="7:12" x14ac:dyDescent="0.25">
      <c r="G79" s="3"/>
      <c r="H79" s="3"/>
      <c r="I79" s="3"/>
      <c r="J79" s="3"/>
      <c r="K79" s="3"/>
      <c r="L79" s="3"/>
    </row>
    <row r="80" spans="7:12" x14ac:dyDescent="0.25">
      <c r="G80" s="3"/>
      <c r="H80" s="3"/>
      <c r="I80" s="3"/>
      <c r="J80" s="3"/>
      <c r="K80" s="3"/>
      <c r="L80" s="3"/>
    </row>
    <row r="81" spans="7:12" x14ac:dyDescent="0.25">
      <c r="G81" s="3"/>
      <c r="H81" s="3"/>
      <c r="I81" s="3"/>
      <c r="J81" s="3"/>
      <c r="K81" s="3"/>
      <c r="L81" s="3"/>
    </row>
    <row r="82" spans="7:12" x14ac:dyDescent="0.25">
      <c r="G82" s="3"/>
      <c r="H82" s="3"/>
      <c r="I82" s="3"/>
      <c r="J82" s="3"/>
      <c r="K82" s="3"/>
      <c r="L82" s="3"/>
    </row>
    <row r="83" spans="7:12" x14ac:dyDescent="0.25">
      <c r="G83" s="3"/>
      <c r="H83" s="3"/>
      <c r="I83" s="3"/>
      <c r="J83" s="3"/>
      <c r="K83" s="3"/>
      <c r="L83" s="3"/>
    </row>
    <row r="84" spans="7:12" x14ac:dyDescent="0.25">
      <c r="G84" s="3"/>
      <c r="H84" s="3"/>
      <c r="I84" s="3"/>
      <c r="J84" s="3"/>
      <c r="K84" s="3"/>
      <c r="L84" s="3"/>
    </row>
    <row r="85" spans="7:12" x14ac:dyDescent="0.25">
      <c r="G85" s="3"/>
      <c r="H85" s="3"/>
      <c r="I85" s="3"/>
      <c r="J85" s="3"/>
      <c r="K85" s="3"/>
      <c r="L85" s="3"/>
    </row>
    <row r="86" spans="7:12" x14ac:dyDescent="0.25">
      <c r="G86" s="3"/>
      <c r="H86" s="3"/>
      <c r="I86" s="3"/>
      <c r="J86" s="3"/>
      <c r="K86" s="3"/>
      <c r="L86" s="3"/>
    </row>
    <row r="87" spans="7:12" x14ac:dyDescent="0.25">
      <c r="G87" s="3"/>
      <c r="H87" s="3"/>
      <c r="I87" s="3"/>
      <c r="J87" s="3"/>
      <c r="K87" s="3"/>
      <c r="L87" s="3"/>
    </row>
    <row r="88" spans="7:12" x14ac:dyDescent="0.25">
      <c r="G88" s="3"/>
      <c r="H88" s="3"/>
      <c r="I88" s="3"/>
      <c r="J88" s="3"/>
      <c r="K88" s="3"/>
      <c r="L88" s="3"/>
    </row>
    <row r="89" spans="7:12" x14ac:dyDescent="0.25">
      <c r="G89" s="3"/>
      <c r="H89" s="3"/>
      <c r="I89" s="3"/>
      <c r="J89" s="3"/>
      <c r="K89" s="3"/>
      <c r="L89" s="3"/>
    </row>
    <row r="90" spans="7:12" x14ac:dyDescent="0.25">
      <c r="G90" s="3"/>
      <c r="H90" s="3"/>
      <c r="I90" s="3"/>
      <c r="J90" s="3"/>
      <c r="K90" s="3"/>
      <c r="L90" s="3"/>
    </row>
    <row r="91" spans="7:12" x14ac:dyDescent="0.25">
      <c r="G91" s="3"/>
      <c r="H91" s="3"/>
      <c r="I91" s="3"/>
      <c r="J91" s="3"/>
      <c r="K91" s="3"/>
      <c r="L91" s="3"/>
    </row>
    <row r="92" spans="7:12" x14ac:dyDescent="0.25">
      <c r="G92" s="3"/>
      <c r="H92" s="3"/>
      <c r="I92" s="3"/>
      <c r="J92" s="3"/>
      <c r="K92" s="3"/>
      <c r="L92" s="3"/>
    </row>
    <row r="93" spans="7:12" x14ac:dyDescent="0.25">
      <c r="G93" s="3"/>
      <c r="H93" s="3"/>
      <c r="I93" s="3"/>
      <c r="J93" s="3"/>
      <c r="K93" s="3"/>
      <c r="L93" s="3"/>
    </row>
    <row r="94" spans="7:12" x14ac:dyDescent="0.25">
      <c r="G94" s="3"/>
      <c r="H94" s="3"/>
      <c r="I94" s="3"/>
      <c r="J94" s="3"/>
      <c r="K94" s="3"/>
      <c r="L94" s="3"/>
    </row>
    <row r="95" spans="7:12" x14ac:dyDescent="0.25">
      <c r="G95" s="3"/>
      <c r="H95" s="3"/>
      <c r="I95" s="3"/>
      <c r="J95" s="3"/>
      <c r="K95" s="3"/>
      <c r="L95" s="3"/>
    </row>
    <row r="96" spans="7:12" x14ac:dyDescent="0.25">
      <c r="G96" s="3"/>
      <c r="H96" s="3"/>
      <c r="I96" s="3"/>
      <c r="J96" s="3"/>
      <c r="K96" s="3"/>
      <c r="L96" s="3"/>
    </row>
    <row r="97" spans="7:12" x14ac:dyDescent="0.25">
      <c r="G97" s="3"/>
      <c r="H97" s="3"/>
      <c r="I97" s="3"/>
      <c r="J97" s="3"/>
      <c r="K97" s="3"/>
      <c r="L97" s="3"/>
    </row>
    <row r="98" spans="7:12" x14ac:dyDescent="0.25">
      <c r="G98" s="3"/>
      <c r="H98" s="3"/>
      <c r="I98" s="3"/>
      <c r="J98" s="3"/>
      <c r="K98" s="3"/>
      <c r="L98" s="3"/>
    </row>
    <row r="99" spans="7:12" x14ac:dyDescent="0.25">
      <c r="G99" s="3"/>
      <c r="H99" s="3"/>
      <c r="I99" s="3"/>
      <c r="J99" s="3"/>
      <c r="K99" s="3"/>
      <c r="L99" s="3"/>
    </row>
    <row r="100" spans="7:12" x14ac:dyDescent="0.25">
      <c r="G100" s="3"/>
      <c r="H100" s="3"/>
      <c r="I100" s="3"/>
      <c r="J100" s="3"/>
      <c r="K100" s="3"/>
      <c r="L100" s="3"/>
    </row>
    <row r="101" spans="7:12" x14ac:dyDescent="0.25">
      <c r="G101" s="3"/>
      <c r="H101" s="3"/>
      <c r="I101" s="3"/>
      <c r="J101" s="3"/>
      <c r="K101" s="3"/>
      <c r="L101" s="3"/>
    </row>
    <row r="102" spans="7:12" x14ac:dyDescent="0.25">
      <c r="G102" s="3"/>
      <c r="H102" s="3"/>
      <c r="I102" s="3"/>
      <c r="J102" s="3"/>
      <c r="K102" s="3"/>
      <c r="L102" s="3"/>
    </row>
    <row r="103" spans="7:12" x14ac:dyDescent="0.25">
      <c r="G103" s="3"/>
      <c r="H103" s="3"/>
      <c r="I103" s="3"/>
      <c r="J103" s="3"/>
      <c r="K103" s="3"/>
      <c r="L103" s="3"/>
    </row>
    <row r="104" spans="7:12" x14ac:dyDescent="0.25">
      <c r="G104" s="3"/>
      <c r="H104" s="3"/>
      <c r="I104" s="3"/>
      <c r="J104" s="3"/>
      <c r="K104" s="3"/>
      <c r="L104" s="3"/>
    </row>
    <row r="105" spans="7:12" x14ac:dyDescent="0.25">
      <c r="G105" s="3"/>
      <c r="H105" s="3"/>
      <c r="I105" s="3"/>
      <c r="J105" s="3"/>
      <c r="K105" s="3"/>
      <c r="L105" s="3"/>
    </row>
    <row r="106" spans="7:12" x14ac:dyDescent="0.25">
      <c r="G106" s="3"/>
      <c r="H106" s="3"/>
      <c r="I106" s="3"/>
      <c r="J106" s="3"/>
      <c r="K106" s="3"/>
      <c r="L106" s="3"/>
    </row>
    <row r="107" spans="7:12" x14ac:dyDescent="0.25">
      <c r="G107" s="3"/>
      <c r="H107" s="3"/>
      <c r="I107" s="3"/>
      <c r="J107" s="3"/>
      <c r="K107" s="3"/>
      <c r="L107" s="3"/>
    </row>
    <row r="108" spans="7:12" x14ac:dyDescent="0.25">
      <c r="G108" s="3"/>
      <c r="H108" s="3"/>
      <c r="I108" s="3"/>
      <c r="J108" s="3"/>
      <c r="K108" s="3"/>
      <c r="L108" s="3"/>
    </row>
    <row r="109" spans="7:12" x14ac:dyDescent="0.25">
      <c r="G109" s="3"/>
      <c r="H109" s="3"/>
      <c r="I109" s="3"/>
      <c r="J109" s="3"/>
      <c r="K109" s="3"/>
      <c r="L109" s="3"/>
    </row>
    <row r="110" spans="7:12" x14ac:dyDescent="0.25">
      <c r="G110" s="3"/>
      <c r="H110" s="3"/>
      <c r="I110" s="3"/>
      <c r="J110" s="3"/>
      <c r="K110" s="3"/>
      <c r="L110" s="3"/>
    </row>
    <row r="111" spans="7:12" x14ac:dyDescent="0.25">
      <c r="G111" s="3"/>
      <c r="H111" s="3"/>
      <c r="I111" s="3"/>
      <c r="J111" s="3"/>
      <c r="K111" s="3"/>
      <c r="L111" s="3"/>
    </row>
    <row r="112" spans="7:12" x14ac:dyDescent="0.25">
      <c r="G112" s="3"/>
      <c r="H112" s="3"/>
      <c r="I112" s="3"/>
      <c r="J112" s="3"/>
      <c r="K112" s="3"/>
      <c r="L112" s="3"/>
    </row>
    <row r="113" spans="7:12" x14ac:dyDescent="0.25">
      <c r="G113" s="3"/>
      <c r="H113" s="3"/>
      <c r="I113" s="3"/>
      <c r="J113" s="3"/>
      <c r="K113" s="3"/>
      <c r="L113" s="3"/>
    </row>
    <row r="114" spans="7:12" x14ac:dyDescent="0.25">
      <c r="G114" s="3"/>
      <c r="H114" s="3"/>
      <c r="I114" s="3"/>
      <c r="J114" s="3"/>
      <c r="K114" s="3"/>
      <c r="L114" s="3"/>
    </row>
    <row r="115" spans="7:12" x14ac:dyDescent="0.25">
      <c r="G115" s="3"/>
      <c r="H115" s="3"/>
      <c r="I115" s="3"/>
      <c r="J115" s="3"/>
      <c r="K115" s="3"/>
      <c r="L115" s="3"/>
    </row>
    <row r="116" spans="7:12" x14ac:dyDescent="0.25">
      <c r="G116" s="3"/>
      <c r="H116" s="3"/>
      <c r="I116" s="3"/>
      <c r="J116" s="3"/>
      <c r="K116" s="3"/>
      <c r="L116" s="3"/>
    </row>
    <row r="117" spans="7:12" x14ac:dyDescent="0.25">
      <c r="G117" s="3"/>
      <c r="H117" s="3"/>
      <c r="I117" s="3"/>
      <c r="J117" s="3"/>
      <c r="K117" s="3"/>
      <c r="L117" s="3"/>
    </row>
    <row r="118" spans="7:12" x14ac:dyDescent="0.25">
      <c r="G118" s="3"/>
      <c r="H118" s="3"/>
      <c r="I118" s="3"/>
      <c r="J118" s="3"/>
      <c r="K118" s="3"/>
      <c r="L118" s="3"/>
    </row>
    <row r="119" spans="7:12" x14ac:dyDescent="0.25">
      <c r="G119" s="3"/>
      <c r="H119" s="3"/>
      <c r="I119" s="3"/>
      <c r="J119" s="3"/>
      <c r="K119" s="3"/>
      <c r="L119" s="3"/>
    </row>
    <row r="120" spans="7:12" x14ac:dyDescent="0.25">
      <c r="G120" s="3"/>
      <c r="H120" s="3"/>
      <c r="I120" s="3"/>
      <c r="J120" s="3"/>
      <c r="K120" s="3"/>
      <c r="L120" s="3"/>
    </row>
    <row r="121" spans="7:12" x14ac:dyDescent="0.25">
      <c r="G121" s="3"/>
      <c r="H121" s="3"/>
      <c r="I121" s="3"/>
      <c r="J121" s="3"/>
      <c r="K121" s="3"/>
      <c r="L121" s="3"/>
    </row>
    <row r="122" spans="7:12" x14ac:dyDescent="0.25">
      <c r="G122" s="3"/>
      <c r="H122" s="3"/>
      <c r="I122" s="3"/>
      <c r="J122" s="3"/>
      <c r="K122" s="3"/>
      <c r="L122" s="3"/>
    </row>
    <row r="123" spans="7:12" x14ac:dyDescent="0.25">
      <c r="G123" s="3"/>
      <c r="H123" s="3"/>
      <c r="I123" s="3"/>
      <c r="J123" s="3"/>
      <c r="K123" s="3"/>
      <c r="L123" s="3"/>
    </row>
    <row r="124" spans="7:12" x14ac:dyDescent="0.25">
      <c r="G124" s="3"/>
      <c r="H124" s="3"/>
      <c r="I124" s="3"/>
      <c r="J124" s="3"/>
      <c r="K124" s="3"/>
      <c r="L124" s="3"/>
    </row>
    <row r="125" spans="7:12" x14ac:dyDescent="0.25">
      <c r="G125" s="3"/>
      <c r="H125" s="3"/>
      <c r="I125" s="3"/>
      <c r="J125" s="3"/>
      <c r="K125" s="3"/>
      <c r="L125" s="3"/>
    </row>
    <row r="126" spans="7:12" x14ac:dyDescent="0.25">
      <c r="G126" s="3"/>
      <c r="H126" s="3"/>
      <c r="I126" s="3"/>
      <c r="J126" s="3"/>
      <c r="K126" s="3"/>
      <c r="L126" s="3"/>
    </row>
    <row r="127" spans="7:12" x14ac:dyDescent="0.25">
      <c r="G127" s="3"/>
      <c r="H127" s="3"/>
      <c r="I127" s="3"/>
      <c r="J127" s="3"/>
      <c r="K127" s="3"/>
      <c r="L127" s="3"/>
    </row>
    <row r="128" spans="7:12" x14ac:dyDescent="0.25">
      <c r="G128" s="3"/>
      <c r="H128" s="3"/>
      <c r="I128" s="3"/>
      <c r="J128" s="3"/>
      <c r="K128" s="3"/>
      <c r="L128" s="3"/>
    </row>
    <row r="129" spans="7:12" x14ac:dyDescent="0.25">
      <c r="G129" s="3"/>
      <c r="H129" s="3"/>
      <c r="I129" s="3"/>
      <c r="J129" s="3"/>
      <c r="K129" s="3"/>
      <c r="L129" s="3"/>
    </row>
    <row r="130" spans="7:12" x14ac:dyDescent="0.25">
      <c r="G130" s="3"/>
      <c r="H130" s="3"/>
      <c r="I130" s="3"/>
      <c r="J130" s="3"/>
      <c r="K130" s="3"/>
      <c r="L130" s="3"/>
    </row>
    <row r="131" spans="7:12" x14ac:dyDescent="0.25">
      <c r="G131" s="3"/>
      <c r="H131" s="3"/>
      <c r="I131" s="3"/>
      <c r="J131" s="3"/>
      <c r="K131" s="3"/>
      <c r="L131" s="3"/>
    </row>
    <row r="132" spans="7:12" x14ac:dyDescent="0.25">
      <c r="G132" s="3"/>
      <c r="H132" s="3"/>
      <c r="I132" s="3"/>
      <c r="J132" s="3"/>
      <c r="K132" s="3"/>
      <c r="L132" s="3"/>
    </row>
    <row r="133" spans="7:12" x14ac:dyDescent="0.25">
      <c r="G133" s="3"/>
      <c r="H133" s="3"/>
      <c r="I133" s="3"/>
      <c r="J133" s="3"/>
      <c r="K133" s="3"/>
      <c r="L133" s="3"/>
    </row>
    <row r="134" spans="7:12" x14ac:dyDescent="0.25">
      <c r="G134" s="3"/>
      <c r="H134" s="3"/>
      <c r="I134" s="3"/>
      <c r="J134" s="3"/>
      <c r="K134" s="3"/>
      <c r="L134" s="3"/>
    </row>
    <row r="135" spans="7:12" x14ac:dyDescent="0.25">
      <c r="G135" s="3"/>
      <c r="H135" s="3"/>
      <c r="I135" s="3"/>
      <c r="J135" s="3"/>
      <c r="K135" s="3"/>
      <c r="L135" s="3"/>
    </row>
    <row r="136" spans="7:12" x14ac:dyDescent="0.25">
      <c r="G136" s="3"/>
      <c r="H136" s="3"/>
      <c r="I136" s="3"/>
      <c r="J136" s="3"/>
      <c r="K136" s="3"/>
      <c r="L136" s="3"/>
    </row>
    <row r="137" spans="7:12" x14ac:dyDescent="0.25">
      <c r="G137" s="3"/>
      <c r="H137" s="3"/>
      <c r="I137" s="3"/>
      <c r="J137" s="3"/>
      <c r="K137" s="3"/>
      <c r="L137" s="3"/>
    </row>
    <row r="138" spans="7:12" x14ac:dyDescent="0.25">
      <c r="G138" s="3"/>
      <c r="H138" s="3"/>
      <c r="I138" s="3"/>
      <c r="J138" s="3"/>
      <c r="K138" s="3"/>
      <c r="L138" s="3"/>
    </row>
    <row r="139" spans="7:12" x14ac:dyDescent="0.25">
      <c r="G139" s="3"/>
      <c r="H139" s="3"/>
      <c r="I139" s="3"/>
      <c r="J139" s="3"/>
      <c r="K139" s="3"/>
      <c r="L139" s="3"/>
    </row>
    <row r="140" spans="7:12" x14ac:dyDescent="0.25">
      <c r="G140" s="3"/>
      <c r="H140" s="3"/>
      <c r="I140" s="3"/>
      <c r="J140" s="3"/>
      <c r="K140" s="3"/>
      <c r="L140" s="3"/>
    </row>
    <row r="141" spans="7:12" x14ac:dyDescent="0.25">
      <c r="G141" s="3"/>
      <c r="H141" s="3"/>
      <c r="I141" s="3"/>
      <c r="J141" s="3"/>
      <c r="K141" s="3"/>
      <c r="L141" s="3"/>
    </row>
    <row r="142" spans="7:12" x14ac:dyDescent="0.25">
      <c r="G142" s="3"/>
      <c r="H142" s="3"/>
      <c r="I142" s="3"/>
      <c r="J142" s="3"/>
      <c r="K142" s="3"/>
      <c r="L142" s="3"/>
    </row>
    <row r="143" spans="7:12" x14ac:dyDescent="0.25">
      <c r="G143" s="3"/>
      <c r="H143" s="3"/>
      <c r="I143" s="3"/>
      <c r="J143" s="3"/>
      <c r="K143" s="3"/>
      <c r="L143" s="3"/>
    </row>
    <row r="144" spans="7:12" x14ac:dyDescent="0.25">
      <c r="G144" s="3"/>
      <c r="H144" s="3"/>
      <c r="I144" s="3"/>
      <c r="J144" s="3"/>
      <c r="K144" s="3"/>
      <c r="L144" s="3"/>
    </row>
    <row r="145" spans="7:12" x14ac:dyDescent="0.25">
      <c r="G145" s="3"/>
      <c r="H145" s="3"/>
      <c r="I145" s="3"/>
      <c r="J145" s="3"/>
      <c r="K145" s="3"/>
      <c r="L145" s="3"/>
    </row>
    <row r="146" spans="7:12" x14ac:dyDescent="0.25">
      <c r="G146" s="3"/>
      <c r="H146" s="3"/>
      <c r="I146" s="3"/>
      <c r="J146" s="3"/>
      <c r="K146" s="3"/>
      <c r="L146" s="3"/>
    </row>
    <row r="147" spans="7:12" x14ac:dyDescent="0.25">
      <c r="G147" s="3"/>
      <c r="H147" s="3"/>
      <c r="I147" s="3"/>
      <c r="J147" s="3"/>
      <c r="K147" s="3"/>
      <c r="L147" s="3"/>
    </row>
    <row r="148" spans="7:12" x14ac:dyDescent="0.25">
      <c r="G148" s="3"/>
      <c r="H148" s="3"/>
      <c r="I148" s="3"/>
      <c r="J148" s="3"/>
      <c r="K148" s="3"/>
      <c r="L148" s="3"/>
    </row>
    <row r="149" spans="7:12" x14ac:dyDescent="0.25">
      <c r="G149" s="3"/>
      <c r="H149" s="3"/>
      <c r="I149" s="3"/>
      <c r="J149" s="3"/>
      <c r="K149" s="3"/>
      <c r="L149" s="3"/>
    </row>
    <row r="150" spans="7:12" x14ac:dyDescent="0.25">
      <c r="G150" s="3"/>
      <c r="H150" s="3"/>
      <c r="I150" s="3"/>
      <c r="J150" s="3"/>
      <c r="K150" s="3"/>
      <c r="L150" s="3"/>
    </row>
    <row r="151" spans="7:12" x14ac:dyDescent="0.25">
      <c r="G151" s="3"/>
      <c r="H151" s="3"/>
      <c r="I151" s="3"/>
      <c r="J151" s="3"/>
      <c r="K151" s="3"/>
      <c r="L151" s="3"/>
    </row>
    <row r="152" spans="7:12" x14ac:dyDescent="0.25">
      <c r="G152" s="3"/>
      <c r="H152" s="3"/>
      <c r="I152" s="3"/>
      <c r="J152" s="3"/>
      <c r="K152" s="3"/>
      <c r="L152" s="3"/>
    </row>
    <row r="153" spans="7:12" x14ac:dyDescent="0.25">
      <c r="G153" s="3"/>
      <c r="H153" s="3"/>
      <c r="I153" s="3"/>
      <c r="J153" s="3"/>
      <c r="K153" s="3"/>
      <c r="L153" s="3"/>
    </row>
    <row r="154" spans="7:12" x14ac:dyDescent="0.25">
      <c r="G154" s="3"/>
      <c r="H154" s="3"/>
      <c r="I154" s="3"/>
      <c r="J154" s="3"/>
      <c r="K154" s="3"/>
      <c r="L154" s="3"/>
    </row>
    <row r="155" spans="7:12" x14ac:dyDescent="0.25">
      <c r="G155" s="3"/>
      <c r="H155" s="3"/>
      <c r="I155" s="3"/>
      <c r="J155" s="3"/>
      <c r="K155" s="3"/>
      <c r="L155" s="3"/>
    </row>
    <row r="156" spans="7:12" x14ac:dyDescent="0.25">
      <c r="G156" s="3"/>
      <c r="H156" s="3"/>
      <c r="I156" s="3"/>
      <c r="J156" s="3"/>
      <c r="K156" s="3"/>
      <c r="L156" s="3"/>
    </row>
    <row r="157" spans="7:12" x14ac:dyDescent="0.25">
      <c r="G157" s="3"/>
      <c r="H157" s="3"/>
      <c r="I157" s="3"/>
      <c r="J157" s="3"/>
      <c r="K157" s="3"/>
      <c r="L157" s="3"/>
    </row>
    <row r="158" spans="7:12" x14ac:dyDescent="0.25">
      <c r="G158" s="3"/>
      <c r="H158" s="3"/>
      <c r="I158" s="3"/>
      <c r="J158" s="3"/>
      <c r="K158" s="3"/>
      <c r="L158" s="3"/>
    </row>
    <row r="159" spans="7:12" x14ac:dyDescent="0.25">
      <c r="G159" s="3"/>
      <c r="H159" s="3"/>
      <c r="I159" s="3"/>
      <c r="J159" s="3"/>
      <c r="K159" s="3"/>
      <c r="L159" s="3"/>
    </row>
    <row r="160" spans="7:12" x14ac:dyDescent="0.25">
      <c r="G160" s="3"/>
      <c r="H160" s="3"/>
      <c r="I160" s="3"/>
      <c r="J160" s="3"/>
      <c r="K160" s="3"/>
      <c r="L160" s="3"/>
    </row>
    <row r="161" spans="7:12" x14ac:dyDescent="0.25">
      <c r="G161" s="3"/>
      <c r="H161" s="3"/>
      <c r="I161" s="3"/>
      <c r="J161" s="3"/>
      <c r="K161" s="3"/>
      <c r="L161" s="3"/>
    </row>
    <row r="162" spans="7:12" x14ac:dyDescent="0.25">
      <c r="G162" s="3"/>
      <c r="H162" s="3"/>
      <c r="I162" s="3"/>
      <c r="J162" s="3"/>
      <c r="K162" s="3"/>
      <c r="L162" s="3"/>
    </row>
    <row r="163" spans="7:12" x14ac:dyDescent="0.25">
      <c r="G163" s="3"/>
      <c r="H163" s="3"/>
      <c r="I163" s="3"/>
      <c r="J163" s="3"/>
      <c r="K163" s="3"/>
      <c r="L163" s="3"/>
    </row>
    <row r="164" spans="7:12" x14ac:dyDescent="0.25">
      <c r="G164" s="3"/>
      <c r="H164" s="3"/>
      <c r="I164" s="3"/>
      <c r="J164" s="3"/>
      <c r="K164" s="3"/>
      <c r="L164" s="3"/>
    </row>
    <row r="165" spans="7:12" x14ac:dyDescent="0.25">
      <c r="G165" s="3"/>
      <c r="H165" s="3"/>
      <c r="I165" s="3"/>
      <c r="J165" s="3"/>
      <c r="K165" s="3"/>
      <c r="L165" s="3"/>
    </row>
    <row r="166" spans="7:12" x14ac:dyDescent="0.25">
      <c r="G166" s="3"/>
      <c r="H166" s="3"/>
      <c r="I166" s="3"/>
      <c r="J166" s="3"/>
      <c r="K166" s="3"/>
      <c r="L166" s="3"/>
    </row>
    <row r="167" spans="7:12" x14ac:dyDescent="0.25">
      <c r="G167" s="3"/>
      <c r="H167" s="3"/>
      <c r="I167" s="3"/>
      <c r="J167" s="3"/>
      <c r="K167" s="3"/>
      <c r="L167" s="3"/>
    </row>
    <row r="168" spans="7:12" x14ac:dyDescent="0.25">
      <c r="G168" s="3"/>
      <c r="H168" s="3"/>
      <c r="I168" s="3"/>
      <c r="J168" s="3"/>
      <c r="K168" s="3"/>
      <c r="L168" s="3"/>
    </row>
    <row r="169" spans="7:12" x14ac:dyDescent="0.25">
      <c r="G169" s="3"/>
      <c r="H169" s="3"/>
      <c r="I169" s="3"/>
      <c r="J169" s="3"/>
      <c r="K169" s="3"/>
      <c r="L169" s="3"/>
    </row>
    <row r="170" spans="7:12" x14ac:dyDescent="0.25">
      <c r="G170" s="3"/>
      <c r="H170" s="3"/>
      <c r="I170" s="3"/>
      <c r="J170" s="3"/>
      <c r="K170" s="3"/>
      <c r="L170" s="3"/>
    </row>
    <row r="171" spans="7:12" x14ac:dyDescent="0.25">
      <c r="G171" s="3"/>
      <c r="H171" s="3"/>
      <c r="I171" s="3"/>
      <c r="J171" s="3"/>
      <c r="K171" s="3"/>
      <c r="L171" s="3"/>
    </row>
    <row r="172" spans="7:12" x14ac:dyDescent="0.25">
      <c r="G172" s="3"/>
      <c r="H172" s="3"/>
      <c r="I172" s="3"/>
      <c r="J172" s="3"/>
      <c r="K172" s="3"/>
      <c r="L172" s="3"/>
    </row>
    <row r="173" spans="7:12" x14ac:dyDescent="0.25">
      <c r="G173" s="3"/>
      <c r="H173" s="3"/>
      <c r="I173" s="3"/>
      <c r="J173" s="3"/>
      <c r="K173" s="3"/>
      <c r="L173" s="3"/>
    </row>
    <row r="174" spans="7:12" x14ac:dyDescent="0.25">
      <c r="G174" s="3"/>
      <c r="H174" s="3"/>
      <c r="I174" s="3"/>
      <c r="J174" s="3"/>
      <c r="K174" s="3"/>
      <c r="L174" s="3"/>
    </row>
    <row r="175" spans="7:12" x14ac:dyDescent="0.25">
      <c r="G175" s="3"/>
      <c r="H175" s="3"/>
      <c r="I175" s="3"/>
      <c r="J175" s="3"/>
      <c r="K175" s="3"/>
      <c r="L175" s="3"/>
    </row>
    <row r="176" spans="7:12" x14ac:dyDescent="0.25">
      <c r="G176" s="3"/>
      <c r="H176" s="3"/>
      <c r="I176" s="3"/>
      <c r="J176" s="3"/>
      <c r="K176" s="3"/>
      <c r="L176" s="3"/>
    </row>
    <row r="177" spans="7:12" x14ac:dyDescent="0.25">
      <c r="G177" s="3"/>
      <c r="H177" s="3"/>
      <c r="I177" s="3"/>
      <c r="J177" s="3"/>
      <c r="K177" s="3"/>
      <c r="L177" s="3"/>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4ABF-7AE6-4659-93A4-A607C5D38902}">
  <sheetPr>
    <tabColor theme="5"/>
  </sheetPr>
  <dimension ref="A1:R24"/>
  <sheetViews>
    <sheetView workbookViewId="0">
      <selection activeCell="N8" sqref="N8"/>
    </sheetView>
  </sheetViews>
  <sheetFormatPr defaultRowHeight="15" x14ac:dyDescent="0.25"/>
  <cols>
    <col min="1" max="5" width="3.28515625" customWidth="1"/>
    <col min="6" max="6" width="26.28515625" customWidth="1"/>
    <col min="7" max="7" width="11.42578125" customWidth="1"/>
    <col min="8" max="12" width="3.28515625" customWidth="1"/>
    <col min="13" max="13" width="18.85546875" customWidth="1"/>
    <col min="14" max="14" width="10.140625" bestFit="1" customWidth="1"/>
  </cols>
  <sheetData>
    <row r="1" spans="1:18" ht="23.25" x14ac:dyDescent="0.35">
      <c r="A1" s="2" t="s">
        <v>170</v>
      </c>
    </row>
    <row r="2" spans="1:18" x14ac:dyDescent="0.25">
      <c r="B2" s="146" t="s">
        <v>147</v>
      </c>
      <c r="C2" s="147"/>
      <c r="D2" s="147"/>
      <c r="E2" s="147"/>
      <c r="F2" s="147"/>
      <c r="G2" s="148"/>
      <c r="I2" s="119" t="s">
        <v>186</v>
      </c>
      <c r="J2" s="119"/>
      <c r="K2" s="119"/>
      <c r="L2" s="119"/>
      <c r="M2" s="119"/>
      <c r="N2" s="120"/>
      <c r="O2" s="120"/>
      <c r="P2" s="120"/>
      <c r="Q2" s="120"/>
      <c r="R2" s="121"/>
    </row>
    <row r="3" spans="1:18" x14ac:dyDescent="0.25">
      <c r="B3" s="100"/>
      <c r="C3" s="101" t="s">
        <v>114</v>
      </c>
      <c r="D3" s="101"/>
      <c r="E3" s="101"/>
      <c r="F3" s="101"/>
      <c r="G3" s="102">
        <f>SUM(Hist.Amort,Hist.Depr,Hist.EBIT)</f>
        <v>7230.6853024878246</v>
      </c>
      <c r="J3" t="s">
        <v>187</v>
      </c>
      <c r="N3" t="s">
        <v>192</v>
      </c>
      <c r="O3" t="s">
        <v>193</v>
      </c>
      <c r="P3" t="s">
        <v>194</v>
      </c>
      <c r="Q3" t="s">
        <v>195</v>
      </c>
      <c r="R3" t="s">
        <v>196</v>
      </c>
    </row>
    <row r="4" spans="1:18" x14ac:dyDescent="0.25">
      <c r="B4" s="103"/>
      <c r="C4" t="s">
        <v>171</v>
      </c>
      <c r="G4" s="104">
        <v>8</v>
      </c>
      <c r="K4" t="s">
        <v>188</v>
      </c>
      <c r="N4">
        <f>hist.cash</f>
        <v>3992.7969209246939</v>
      </c>
      <c r="O4" s="4" cm="1">
        <f t="array" ref="O4:O7">N4:N7/$N$8</f>
        <v>5.5766660299583402E-2</v>
      </c>
      <c r="P4" s="104" cm="1">
        <f t="array" ref="P4:P8">+N4:N8/$G$3</f>
        <v>0.55220172831348546</v>
      </c>
    </row>
    <row r="5" spans="1:18" x14ac:dyDescent="0.25">
      <c r="B5" s="103"/>
      <c r="D5" t="s">
        <v>172</v>
      </c>
      <c r="G5" s="105">
        <f>+G4*G3</f>
        <v>57845.482419902597</v>
      </c>
      <c r="K5" t="s">
        <v>189</v>
      </c>
      <c r="N5" s="3">
        <v>18000</v>
      </c>
      <c r="O5" s="4">
        <v>0.25140268971155955</v>
      </c>
      <c r="P5" s="104">
        <v>2.4893905967400949</v>
      </c>
      <c r="Q5" s="52">
        <v>0.03</v>
      </c>
      <c r="R5">
        <f>Q5*LBO.Revolver</f>
        <v>540</v>
      </c>
    </row>
    <row r="6" spans="1:18" x14ac:dyDescent="0.25">
      <c r="B6" s="103"/>
      <c r="D6" t="s">
        <v>173</v>
      </c>
      <c r="G6" s="106"/>
      <c r="K6" t="s">
        <v>190</v>
      </c>
      <c r="N6" s="3">
        <v>18000</v>
      </c>
      <c r="O6" s="4">
        <v>0.25140268971155955</v>
      </c>
      <c r="P6" s="104">
        <v>2.4893905967400949</v>
      </c>
      <c r="Q6" s="52">
        <v>0.04</v>
      </c>
      <c r="R6">
        <f>Q6*LBO.Revolver</f>
        <v>720</v>
      </c>
    </row>
    <row r="7" spans="1:18" x14ac:dyDescent="0.25">
      <c r="B7" s="103"/>
      <c r="E7" t="s">
        <v>174</v>
      </c>
      <c r="G7" s="106"/>
      <c r="K7" t="s">
        <v>191</v>
      </c>
      <c r="N7" s="3">
        <f>30000+1605.4824</f>
        <v>31605.482400000001</v>
      </c>
      <c r="O7" s="4">
        <v>0.44142796027729758</v>
      </c>
      <c r="P7" s="104">
        <v>4.3710217051108096</v>
      </c>
    </row>
    <row r="8" spans="1:18" x14ac:dyDescent="0.25">
      <c r="B8" s="103"/>
      <c r="F8" t="s">
        <v>94</v>
      </c>
      <c r="G8" s="106">
        <f>-DCF.Debt</f>
        <v>-5500</v>
      </c>
      <c r="J8" t="s">
        <v>197</v>
      </c>
      <c r="N8" s="6">
        <f>SUM(N4:N7)</f>
        <v>71598.279320924688</v>
      </c>
      <c r="P8" s="104">
        <v>9.9020046269044837</v>
      </c>
      <c r="R8">
        <f>SUM(R4:R7)</f>
        <v>1260</v>
      </c>
    </row>
    <row r="9" spans="1:18" x14ac:dyDescent="0.25">
      <c r="B9" s="103"/>
      <c r="F9" t="s">
        <v>70</v>
      </c>
      <c r="G9" s="106">
        <f>-DCF.Pref.Stock</f>
        <v>-1500</v>
      </c>
    </row>
    <row r="10" spans="1:18" x14ac:dyDescent="0.25">
      <c r="B10" s="103"/>
      <c r="E10" t="s">
        <v>175</v>
      </c>
      <c r="G10" s="106"/>
      <c r="J10" t="s">
        <v>198</v>
      </c>
    </row>
    <row r="11" spans="1:18" x14ac:dyDescent="0.25">
      <c r="B11" s="103"/>
      <c r="F11" t="s">
        <v>46</v>
      </c>
      <c r="G11" s="107">
        <f>hist.cash</f>
        <v>3992.7969209246939</v>
      </c>
      <c r="K11" t="s">
        <v>181</v>
      </c>
      <c r="N11" s="113">
        <f>Min.Cash</f>
        <v>5000</v>
      </c>
      <c r="O11" s="4" cm="1">
        <f t="array" ref="O11:O16">+N11:N16/$N$17</f>
        <v>6.9834080456021019E-2</v>
      </c>
    </row>
    <row r="12" spans="1:18" ht="15.75" thickBot="1" x14ac:dyDescent="0.3">
      <c r="B12" s="103"/>
      <c r="C12" t="s">
        <v>176</v>
      </c>
      <c r="G12" s="108">
        <f>SUM(G5:G11)</f>
        <v>54838.279340827292</v>
      </c>
      <c r="K12" t="s">
        <v>184</v>
      </c>
      <c r="N12" s="99">
        <f>+G12</f>
        <v>54838.279340827292</v>
      </c>
      <c r="O12" s="4">
        <v>0.76591616231141768</v>
      </c>
    </row>
    <row r="13" spans="1:18" ht="15.75" thickTop="1" x14ac:dyDescent="0.25">
      <c r="B13" s="109"/>
      <c r="C13" s="110"/>
      <c r="D13" s="111" t="s">
        <v>177</v>
      </c>
      <c r="E13" s="110"/>
      <c r="F13" s="110"/>
      <c r="G13" s="112">
        <f ca="1">+G12/Shares.Outstanding</f>
        <v>46.329574927873722</v>
      </c>
      <c r="K13" t="s">
        <v>199</v>
      </c>
      <c r="N13">
        <f>-G8</f>
        <v>5500</v>
      </c>
      <c r="O13" s="4">
        <v>7.6817488501623121E-2</v>
      </c>
    </row>
    <row r="14" spans="1:18" x14ac:dyDescent="0.25">
      <c r="K14" t="s">
        <v>200</v>
      </c>
      <c r="N14">
        <f>-G9</f>
        <v>1500</v>
      </c>
      <c r="O14" s="4">
        <v>2.0950224136806306E-2</v>
      </c>
    </row>
    <row r="15" spans="1:18" x14ac:dyDescent="0.25">
      <c r="B15" s="146" t="s">
        <v>178</v>
      </c>
      <c r="C15" s="147"/>
      <c r="D15" s="147"/>
      <c r="E15" s="147"/>
      <c r="F15" s="147"/>
      <c r="G15" s="148"/>
      <c r="K15" t="s">
        <v>201</v>
      </c>
      <c r="N15">
        <f>Goldman.Fee</f>
        <v>3500</v>
      </c>
      <c r="O15" s="4">
        <v>4.8883856319214714E-2</v>
      </c>
    </row>
    <row r="16" spans="1:18" x14ac:dyDescent="0.25">
      <c r="B16" s="103"/>
      <c r="C16" t="s">
        <v>179</v>
      </c>
      <c r="G16" s="104">
        <v>6</v>
      </c>
      <c r="K16" t="s">
        <v>202</v>
      </c>
      <c r="N16">
        <f>PNC.Fee</f>
        <v>1260</v>
      </c>
      <c r="O16" s="4">
        <v>1.7598188274917295E-2</v>
      </c>
    </row>
    <row r="17" spans="2:14" x14ac:dyDescent="0.25">
      <c r="B17" s="103"/>
      <c r="C17" t="s">
        <v>180</v>
      </c>
      <c r="G17" s="114">
        <f>+G16*G3</f>
        <v>43384.111814926946</v>
      </c>
      <c r="J17" t="s">
        <v>203</v>
      </c>
      <c r="N17" s="113">
        <f>SUM(N11:N16)</f>
        <v>71598.279340827285</v>
      </c>
    </row>
    <row r="18" spans="2:14" x14ac:dyDescent="0.25">
      <c r="B18" s="103"/>
      <c r="C18" t="s">
        <v>181</v>
      </c>
      <c r="G18" s="115">
        <v>5000</v>
      </c>
    </row>
    <row r="19" spans="2:14" x14ac:dyDescent="0.25">
      <c r="B19" s="109"/>
      <c r="C19" s="110" t="s">
        <v>182</v>
      </c>
      <c r="D19" s="110"/>
      <c r="E19" s="110"/>
      <c r="F19" s="110"/>
      <c r="G19" s="116">
        <v>3500</v>
      </c>
      <c r="J19" t="s">
        <v>76</v>
      </c>
      <c r="N19" s="122" cm="1">
        <f t="array" ref="N19">_xlfn.LET(_xlpm.sources,N8,_xlpm.uses,N17,_xlpm.sources-_xlpm.uses)</f>
        <v>-1.990259625017643E-5</v>
      </c>
    </row>
    <row r="21" spans="2:14" x14ac:dyDescent="0.25">
      <c r="B21" s="146" t="s">
        <v>183</v>
      </c>
      <c r="C21" s="147"/>
      <c r="D21" s="147"/>
      <c r="E21" s="147"/>
      <c r="F21" s="147"/>
      <c r="G21" s="148"/>
    </row>
    <row r="22" spans="2:14" x14ac:dyDescent="0.25">
      <c r="B22" s="103"/>
      <c r="C22" t="s">
        <v>184</v>
      </c>
      <c r="G22" s="117">
        <f>+G12</f>
        <v>54838.279340827292</v>
      </c>
    </row>
    <row r="23" spans="2:14" x14ac:dyDescent="0.25">
      <c r="B23" s="103"/>
      <c r="D23" t="s">
        <v>185</v>
      </c>
      <c r="G23" s="107">
        <f>-(DCF.Equity-DCF.Pref.Stock)</f>
        <v>-10304.286087316566</v>
      </c>
    </row>
    <row r="24" spans="2:14" x14ac:dyDescent="0.25">
      <c r="B24" s="109"/>
      <c r="C24" s="110" t="s">
        <v>54</v>
      </c>
      <c r="D24" s="110"/>
      <c r="E24" s="110"/>
      <c r="F24" s="110"/>
      <c r="G24" s="118">
        <f>SUM(G22:G23)</f>
        <v>44533.993253510722</v>
      </c>
    </row>
  </sheetData>
  <mergeCells count="3">
    <mergeCell ref="B2:G2"/>
    <mergeCell ref="B15:G15"/>
    <mergeCell ref="B21:G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54A64-8D77-488D-B98E-8D30E9DBCBD4}">
  <sheetPr>
    <tabColor theme="7" tint="0.39997558519241921"/>
  </sheetPr>
  <dimension ref="A1:T46"/>
  <sheetViews>
    <sheetView workbookViewId="0">
      <selection activeCell="O39" sqref="O39"/>
    </sheetView>
  </sheetViews>
  <sheetFormatPr defaultRowHeight="15" x14ac:dyDescent="0.25"/>
  <cols>
    <col min="1" max="5" width="2.85546875" customWidth="1"/>
    <col min="6" max="6" width="23" customWidth="1"/>
    <col min="7" max="7" width="12.140625" bestFit="1" customWidth="1"/>
    <col min="8" max="8" width="11.28515625" bestFit="1" customWidth="1"/>
    <col min="9" max="9" width="10.28515625" customWidth="1"/>
    <col min="10" max="10" width="12.7109375" bestFit="1" customWidth="1"/>
    <col min="11" max="11" width="11.28515625" bestFit="1" customWidth="1"/>
    <col min="15" max="15" width="13" customWidth="1"/>
    <col min="16" max="20" width="8.85546875" customWidth="1"/>
  </cols>
  <sheetData>
    <row r="1" spans="1:11" ht="23.25" x14ac:dyDescent="0.35">
      <c r="A1" s="2" t="s">
        <v>225</v>
      </c>
    </row>
    <row r="2" spans="1:11" x14ac:dyDescent="0.25">
      <c r="B2" t="s">
        <v>107</v>
      </c>
    </row>
    <row r="3" spans="1:11" x14ac:dyDescent="0.25">
      <c r="C3" t="s">
        <v>226</v>
      </c>
      <c r="G3" s="126" cm="1">
        <f t="array" ref="G3:K3">dates.fcst</f>
        <v>2025</v>
      </c>
      <c r="H3" s="126">
        <v>2026</v>
      </c>
      <c r="I3" s="126">
        <v>2027</v>
      </c>
      <c r="J3" s="126">
        <v>2028</v>
      </c>
      <c r="K3" s="126">
        <v>2029</v>
      </c>
    </row>
    <row r="4" spans="1:11" x14ac:dyDescent="0.25">
      <c r="D4" t="s">
        <v>205</v>
      </c>
      <c r="G4" s="127" cm="1">
        <f t="array" aca="1" ref="G4:K4" ca="1">revolver</f>
        <v>15814.109361979317</v>
      </c>
      <c r="H4" s="127">
        <f ca="1"/>
        <v>13445.450961751978</v>
      </c>
      <c r="I4" s="127">
        <f ca="1"/>
        <v>10465.325578478016</v>
      </c>
      <c r="J4" s="127">
        <f ca="1"/>
        <v>7149.9307191495245</v>
      </c>
      <c r="K4" s="127">
        <f ca="1"/>
        <v>3304.3301739438393</v>
      </c>
    </row>
    <row r="5" spans="1:11" x14ac:dyDescent="0.25">
      <c r="D5" t="s">
        <v>206</v>
      </c>
      <c r="G5" cm="1">
        <f t="array" ref="G5:K5">sub.debt</f>
        <v>18000</v>
      </c>
      <c r="H5">
        <v>18000</v>
      </c>
      <c r="I5">
        <v>18000</v>
      </c>
      <c r="J5">
        <v>18000</v>
      </c>
      <c r="K5">
        <v>18000</v>
      </c>
    </row>
    <row r="6" spans="1:11" x14ac:dyDescent="0.25">
      <c r="D6" t="s">
        <v>227</v>
      </c>
      <c r="G6" s="127" cm="1">
        <f t="array" aca="1" ref="G6:K6" ca="1">f.equity</f>
        <v>27543.857834001363</v>
      </c>
      <c r="H6" s="127">
        <f ca="1"/>
        <v>28485.938423462318</v>
      </c>
      <c r="I6" s="127">
        <f ca="1"/>
        <v>29802.368977556886</v>
      </c>
      <c r="J6" s="127">
        <f ca="1"/>
        <v>31561.748231564958</v>
      </c>
      <c r="K6" s="127">
        <f ca="1"/>
        <v>33750.903548607821</v>
      </c>
    </row>
    <row r="7" spans="1:11" x14ac:dyDescent="0.25">
      <c r="C7" t="s">
        <v>228</v>
      </c>
      <c r="G7" s="128">
        <f ca="1">SUM(G4:G6)</f>
        <v>61357.96719598068</v>
      </c>
      <c r="H7" s="128">
        <f t="shared" ref="H7:K7" ca="1" si="0">SUM(H4:H6)</f>
        <v>59931.389385214294</v>
      </c>
      <c r="I7" s="128">
        <f t="shared" ca="1" si="0"/>
        <v>58267.694556034898</v>
      </c>
      <c r="J7" s="128">
        <f t="shared" ca="1" si="0"/>
        <v>56711.678950714486</v>
      </c>
      <c r="K7" s="128">
        <f t="shared" ca="1" si="0"/>
        <v>55055.23372255166</v>
      </c>
    </row>
    <row r="8" spans="1:11" x14ac:dyDescent="0.25">
      <c r="C8" t="s">
        <v>229</v>
      </c>
    </row>
    <row r="9" spans="1:11" x14ac:dyDescent="0.25">
      <c r="D9" t="s">
        <v>205</v>
      </c>
      <c r="G9" s="4" cm="1">
        <f t="array" aca="1" ref="G9:K11" ca="1">+G4:K6/G7:K7</f>
        <v>0.25773522306350521</v>
      </c>
      <c r="H9" s="4">
        <f ca="1"/>
        <v>0.22434739290507943</v>
      </c>
      <c r="I9" s="4">
        <f ca="1"/>
        <v>0.17960768240819477</v>
      </c>
      <c r="J9" s="4">
        <f ca="1"/>
        <v>0.12607510219126472</v>
      </c>
      <c r="K9" s="4">
        <f ca="1"/>
        <v>6.0018456929923511E-2</v>
      </c>
    </row>
    <row r="10" spans="1:11" x14ac:dyDescent="0.25">
      <c r="D10" t="s">
        <v>206</v>
      </c>
      <c r="G10" s="4">
        <f ca="1"/>
        <v>0.29336043585842769</v>
      </c>
      <c r="H10" s="4">
        <f ca="1"/>
        <v>0.30034344580772876</v>
      </c>
      <c r="I10" s="4">
        <f ca="1"/>
        <v>0.3089190354475026</v>
      </c>
      <c r="J10" s="4">
        <f ca="1"/>
        <v>0.31739494109569516</v>
      </c>
      <c r="K10" s="4">
        <f ca="1"/>
        <v>0.3269443935286912</v>
      </c>
    </row>
    <row r="11" spans="1:11" x14ac:dyDescent="0.25">
      <c r="D11" t="s">
        <v>227</v>
      </c>
      <c r="G11" s="4">
        <f ca="1"/>
        <v>0.44890434107806709</v>
      </c>
      <c r="H11" s="4">
        <f ca="1"/>
        <v>0.47530916128719186</v>
      </c>
      <c r="I11" s="4">
        <f ca="1"/>
        <v>0.51147328214430265</v>
      </c>
      <c r="J11" s="4">
        <f ca="1"/>
        <v>0.55652995671304006</v>
      </c>
      <c r="K11" s="4">
        <f ca="1"/>
        <v>0.61303714954138533</v>
      </c>
    </row>
    <row r="12" spans="1:11" x14ac:dyDescent="0.25">
      <c r="C12" t="s">
        <v>230</v>
      </c>
    </row>
    <row r="13" spans="1:11" x14ac:dyDescent="0.25">
      <c r="D13" t="s">
        <v>205</v>
      </c>
      <c r="G13" s="49" cm="1">
        <f t="array" ref="G13:K13">rate.revolver*(1-tax.rate)</f>
        <v>6.7150000000000001E-2</v>
      </c>
      <c r="H13" s="49">
        <v>6.7150000000000001E-2</v>
      </c>
      <c r="I13" s="49">
        <v>6.7150000000000001E-2</v>
      </c>
      <c r="J13" s="49">
        <v>6.7150000000000001E-2</v>
      </c>
      <c r="K13" s="49">
        <v>6.7150000000000001E-2</v>
      </c>
    </row>
    <row r="14" spans="1:11" x14ac:dyDescent="0.25">
      <c r="D14" t="s">
        <v>206</v>
      </c>
      <c r="G14" s="49" cm="1">
        <f t="array" ref="G14:K14">rate.sub.debt*(1-tax.rate)</f>
        <v>8.6900000000000005E-2</v>
      </c>
      <c r="H14" s="49">
        <v>8.6900000000000005E-2</v>
      </c>
      <c r="I14" s="49">
        <v>8.6900000000000005E-2</v>
      </c>
      <c r="J14" s="49">
        <v>8.6900000000000005E-2</v>
      </c>
      <c r="K14" s="49">
        <v>8.6900000000000005E-2</v>
      </c>
    </row>
    <row r="15" spans="1:11" x14ac:dyDescent="0.25">
      <c r="D15" t="s">
        <v>227</v>
      </c>
      <c r="G15" s="49">
        <v>0.23710000000000001</v>
      </c>
      <c r="H15" s="49">
        <f>+G15</f>
        <v>0.23710000000000001</v>
      </c>
      <c r="I15" s="49">
        <f t="shared" ref="I15:K15" si="1">+H15</f>
        <v>0.23710000000000001</v>
      </c>
      <c r="J15" s="49">
        <f t="shared" si="1"/>
        <v>0.23710000000000001</v>
      </c>
      <c r="K15" s="49">
        <f t="shared" si="1"/>
        <v>0.23710000000000001</v>
      </c>
    </row>
    <row r="16" spans="1:11" x14ac:dyDescent="0.25">
      <c r="C16" t="s">
        <v>112</v>
      </c>
      <c r="G16" s="49">
        <f ca="1">SUMPRODUCT(G9:G11,G13:G15)</f>
        <v>0.14923516137442144</v>
      </c>
      <c r="H16" s="49">
        <f t="shared" ref="H16:K16" ca="1" si="2">SUMPRODUCT(H9:H11,H13:H15)</f>
        <v>0.15386057501546091</v>
      </c>
      <c r="I16" s="49">
        <f t="shared" ca="1" si="2"/>
        <v>0.16017603525051244</v>
      </c>
      <c r="J16" s="49">
        <f t="shared" ca="1" si="2"/>
        <v>0.16800081623002114</v>
      </c>
      <c r="K16" s="49">
        <f t="shared" ca="1" si="2"/>
        <v>0.17779281533675009</v>
      </c>
    </row>
    <row r="17" spans="2:11" x14ac:dyDescent="0.25">
      <c r="C17" t="s">
        <v>231</v>
      </c>
    </row>
    <row r="18" spans="2:11" x14ac:dyDescent="0.25">
      <c r="D18" t="s">
        <v>232</v>
      </c>
      <c r="G18" s="4">
        <f ca="1">1/(1+G16)</f>
        <v>0.87014393016313174</v>
      </c>
      <c r="H18" s="4">
        <f t="shared" ref="H18:K18" ca="1" si="3">1/(1+H16)</f>
        <v>0.86665583490154408</v>
      </c>
      <c r="I18" s="4">
        <f t="shared" ca="1" si="3"/>
        <v>0.86193816249968813</v>
      </c>
      <c r="J18" s="4">
        <f t="shared" ca="1" si="3"/>
        <v>0.85616378525121195</v>
      </c>
      <c r="K18" s="4">
        <f t="shared" ca="1" si="3"/>
        <v>0.84904576337909121</v>
      </c>
    </row>
    <row r="19" spans="2:11" x14ac:dyDescent="0.25">
      <c r="D19" t="s">
        <v>233</v>
      </c>
      <c r="G19" s="4">
        <f ca="1">PRODUCT($G18:G18)</f>
        <v>0.87014393016313174</v>
      </c>
      <c r="H19" s="4">
        <f ca="1">PRODUCT($G18:H18)</f>
        <v>0.75411531428003975</v>
      </c>
      <c r="I19" s="4">
        <f ca="1">PRODUCT($G18:I18)</f>
        <v>0.65000076830341225</v>
      </c>
      <c r="J19" s="4">
        <f ca="1">PRODUCT($G18:J18)</f>
        <v>0.5565071182068454</v>
      </c>
      <c r="K19" s="4">
        <f ca="1">PRODUCT($G18:K18)</f>
        <v>0.47250001100382921</v>
      </c>
    </row>
    <row r="21" spans="2:11" x14ac:dyDescent="0.25">
      <c r="B21" t="s">
        <v>234</v>
      </c>
      <c r="G21" s="126" cm="1">
        <f t="array" ref="G21:K21">dates.fcst</f>
        <v>2025</v>
      </c>
      <c r="H21" s="126">
        <v>2026</v>
      </c>
      <c r="I21" s="126">
        <v>2027</v>
      </c>
      <c r="J21" s="126">
        <v>2028</v>
      </c>
      <c r="K21" s="126">
        <v>2029</v>
      </c>
    </row>
    <row r="22" spans="2:11" x14ac:dyDescent="0.25">
      <c r="C22" t="s">
        <v>114</v>
      </c>
      <c r="G22" s="48" cm="1">
        <f t="array" ref="G22:K31">DCF.Table</f>
        <v>7684.9184951543657</v>
      </c>
      <c r="H22" s="48">
        <v>7792.0700696914837</v>
      </c>
      <c r="I22" s="48">
        <v>8012.6201268392915</v>
      </c>
      <c r="J22" s="48">
        <v>8291.5061206489081</v>
      </c>
      <c r="K22" s="48">
        <v>8508.6504072618591</v>
      </c>
    </row>
    <row r="23" spans="2:11" x14ac:dyDescent="0.25">
      <c r="D23" t="s">
        <v>115</v>
      </c>
      <c r="G23" s="48">
        <v>-3476.6996626755363</v>
      </c>
      <c r="H23" s="48">
        <v>-3476.6996626755363</v>
      </c>
      <c r="I23" s="48">
        <v>-3476.6996626755363</v>
      </c>
      <c r="J23" s="48">
        <v>-3476.6996626755363</v>
      </c>
      <c r="K23" s="48">
        <v>-3476.6996626755363</v>
      </c>
    </row>
    <row r="24" spans="2:11" x14ac:dyDescent="0.25">
      <c r="C24" t="s">
        <v>116</v>
      </c>
      <c r="G24" s="50">
        <v>4208.2188324788294</v>
      </c>
      <c r="H24" s="50">
        <v>4315.3704070159474</v>
      </c>
      <c r="I24" s="50">
        <v>4535.9204641637552</v>
      </c>
      <c r="J24" s="50">
        <v>4814.8064579733709</v>
      </c>
      <c r="K24" s="50">
        <v>5031.9507445863237</v>
      </c>
    </row>
    <row r="25" spans="2:11" x14ac:dyDescent="0.25">
      <c r="D25" t="s">
        <v>117</v>
      </c>
      <c r="G25" s="48">
        <v>-883.72595482055419</v>
      </c>
      <c r="H25" s="48">
        <v>-906.22778547334894</v>
      </c>
      <c r="I25" s="48">
        <v>-952.54329747438851</v>
      </c>
      <c r="J25" s="48">
        <v>-1011.1093561744078</v>
      </c>
      <c r="K25" s="48">
        <v>-1056.709656363128</v>
      </c>
    </row>
    <row r="26" spans="2:11" x14ac:dyDescent="0.25">
      <c r="C26" t="s">
        <v>118</v>
      </c>
      <c r="G26" s="50">
        <v>3324.4928776582751</v>
      </c>
      <c r="H26" s="50">
        <v>3409.1426215425986</v>
      </c>
      <c r="I26" s="50">
        <v>3583.3771666893667</v>
      </c>
      <c r="J26" s="50">
        <v>3803.6971017989631</v>
      </c>
      <c r="K26" s="50">
        <v>3975.2410882231957</v>
      </c>
    </row>
    <row r="27" spans="2:11" x14ac:dyDescent="0.25">
      <c r="D27" t="s">
        <v>119</v>
      </c>
      <c r="G27" s="48">
        <v>3476.6996626755363</v>
      </c>
      <c r="H27" s="48">
        <v>3476.6996626755363</v>
      </c>
      <c r="I27" s="48">
        <v>3476.6996626755363</v>
      </c>
      <c r="J27" s="48">
        <v>3476.6996626755363</v>
      </c>
      <c r="K27" s="48">
        <v>3476.6996626755363</v>
      </c>
    </row>
    <row r="28" spans="2:11" x14ac:dyDescent="0.25">
      <c r="D28" t="s">
        <v>80</v>
      </c>
      <c r="G28" s="48">
        <v>103.760860354123</v>
      </c>
      <c r="H28" s="48">
        <v>-37.265311300651774</v>
      </c>
      <c r="I28" s="48">
        <v>124.15692833142134</v>
      </c>
      <c r="J28" s="48">
        <v>-34.468438414073717</v>
      </c>
      <c r="K28" s="48">
        <v>137.95621789639767</v>
      </c>
    </row>
    <row r="29" spans="2:11" x14ac:dyDescent="0.25">
      <c r="C29" t="s">
        <v>120</v>
      </c>
      <c r="G29" s="50">
        <v>6904.9534006879348</v>
      </c>
      <c r="H29" s="50">
        <v>6848.5769729174835</v>
      </c>
      <c r="I29" s="50">
        <v>7184.2337576963246</v>
      </c>
      <c r="J29" s="50">
        <v>7245.9283260604252</v>
      </c>
      <c r="K29" s="50">
        <v>7589.8969687951294</v>
      </c>
    </row>
    <row r="30" spans="2:11" x14ac:dyDescent="0.25">
      <c r="D30" t="s">
        <v>121</v>
      </c>
      <c r="G30" s="48">
        <v>-1750</v>
      </c>
      <c r="H30" s="48">
        <v>-1750</v>
      </c>
      <c r="I30" s="48">
        <v>-1500</v>
      </c>
      <c r="J30" s="48">
        <v>-1500</v>
      </c>
      <c r="K30" s="48">
        <v>-1500</v>
      </c>
    </row>
    <row r="31" spans="2:11" x14ac:dyDescent="0.25">
      <c r="C31" t="s">
        <v>122</v>
      </c>
      <c r="G31" s="50">
        <v>5154.9534006879348</v>
      </c>
      <c r="H31" s="50">
        <v>5098.5769729174835</v>
      </c>
      <c r="I31" s="50">
        <v>5684.2337576963246</v>
      </c>
      <c r="J31" s="50">
        <v>5745.9283260604252</v>
      </c>
      <c r="K31" s="50">
        <v>6089.8969687951294</v>
      </c>
    </row>
    <row r="32" spans="2:11" ht="15.75" thickBot="1" x14ac:dyDescent="0.3"/>
    <row r="33" spans="2:20" ht="15.75" thickBot="1" x14ac:dyDescent="0.3">
      <c r="B33" t="s">
        <v>235</v>
      </c>
      <c r="H33" s="149" t="s">
        <v>241</v>
      </c>
      <c r="I33" s="150"/>
      <c r="J33" s="150"/>
      <c r="K33" s="151"/>
    </row>
    <row r="34" spans="2:20" ht="30" x14ac:dyDescent="0.25">
      <c r="G34" s="130" t="s">
        <v>236</v>
      </c>
      <c r="H34" s="133" t="s">
        <v>240</v>
      </c>
      <c r="I34" s="134" t="s">
        <v>237</v>
      </c>
      <c r="J34" s="134" t="s">
        <v>238</v>
      </c>
      <c r="K34" s="139" t="s">
        <v>239</v>
      </c>
    </row>
    <row r="35" spans="2:20" x14ac:dyDescent="0.25">
      <c r="G35" s="131" cm="1">
        <f t="array" ref="G35:G38">_xlfn.SEQUENCE(4,1,8,2)</f>
        <v>8</v>
      </c>
      <c r="H35" s="135" cm="1">
        <f t="array" ref="H35:H38">terminal.ebidta*_xlfn.ANCHORARRAY(G35)</f>
        <v>68069.203258094873</v>
      </c>
      <c r="I35" s="6">
        <f ca="1">terminal.cash</f>
        <v>6887.389892796562</v>
      </c>
      <c r="J35" s="105">
        <f ca="1">-terminal.revolver-terminal.sub.debt</f>
        <v>-21304.330173943839</v>
      </c>
      <c r="K35" s="140" cm="1">
        <f t="array" aca="1" ref="K35:K38" ca="1">_xlfn.BYROW(H35:J38,_xleta.SUM)</f>
        <v>53652.262976947597</v>
      </c>
    </row>
    <row r="36" spans="2:20" x14ac:dyDescent="0.25">
      <c r="G36" s="131">
        <v>10</v>
      </c>
      <c r="H36" s="136">
        <v>85086.504072618583</v>
      </c>
      <c r="I36" s="9">
        <f ca="1">terminal.cash</f>
        <v>6887.389892796562</v>
      </c>
      <c r="J36" s="107">
        <f ca="1">-terminal.revolver-terminal.sub.debt</f>
        <v>-21304.330173943839</v>
      </c>
      <c r="K36" s="141">
        <f ca="1"/>
        <v>70669.563791471301</v>
      </c>
    </row>
    <row r="37" spans="2:20" x14ac:dyDescent="0.25">
      <c r="G37" s="131">
        <v>12</v>
      </c>
      <c r="H37" s="136">
        <v>102103.80488714231</v>
      </c>
      <c r="I37" s="9">
        <f ca="1">terminal.cash</f>
        <v>6887.389892796562</v>
      </c>
      <c r="J37" s="107">
        <f ca="1">-terminal.revolver-terminal.sub.debt</f>
        <v>-21304.330173943839</v>
      </c>
      <c r="K37" s="141">
        <f ca="1"/>
        <v>87686.864605995041</v>
      </c>
    </row>
    <row r="38" spans="2:20" x14ac:dyDescent="0.25">
      <c r="G38" s="132">
        <v>14</v>
      </c>
      <c r="H38" s="137">
        <v>119121.10570166603</v>
      </c>
      <c r="I38" s="10">
        <f ca="1">terminal.cash</f>
        <v>6887.389892796562</v>
      </c>
      <c r="J38" s="138">
        <f ca="1">-terminal.revolver-terminal.sub.debt</f>
        <v>-21304.330173943839</v>
      </c>
      <c r="K38" s="142">
        <f ca="1"/>
        <v>104704.16542051875</v>
      </c>
    </row>
    <row r="40" spans="2:20" x14ac:dyDescent="0.25">
      <c r="B40" t="s">
        <v>242</v>
      </c>
    </row>
    <row r="41" spans="2:20" x14ac:dyDescent="0.25">
      <c r="C41" t="s">
        <v>243</v>
      </c>
      <c r="G41" s="143">
        <f>-LBO.Equity</f>
        <v>-31605.482400000001</v>
      </c>
      <c r="O41" t="s">
        <v>246</v>
      </c>
    </row>
    <row r="42" spans="2:20" ht="45" x14ac:dyDescent="0.25">
      <c r="G42" s="130" t="s">
        <v>236</v>
      </c>
      <c r="H42" s="129" t="s">
        <v>244</v>
      </c>
      <c r="I42" s="129" t="s">
        <v>245</v>
      </c>
      <c r="N42" s="130" t="s">
        <v>236</v>
      </c>
      <c r="O42" s="144" cm="1">
        <f t="array" ref="O42:T42">_xlfn.SEQUENCE(1,6,0,1)</f>
        <v>0</v>
      </c>
      <c r="P42" s="144">
        <v>1</v>
      </c>
      <c r="Q42" s="144">
        <v>2</v>
      </c>
      <c r="R42" s="144">
        <v>3</v>
      </c>
      <c r="S42" s="144">
        <v>4</v>
      </c>
      <c r="T42" s="144">
        <v>5</v>
      </c>
    </row>
    <row r="43" spans="2:20" x14ac:dyDescent="0.25">
      <c r="G43" s="131" cm="1">
        <f t="array" ref="G43:G46">_xlfn.SEQUENCE(4,1,8,2)</f>
        <v>8</v>
      </c>
      <c r="H43" s="48">
        <f ca="1">+$G$41+SUMPRODUCT(P43:T43,LBO.Discount.Factors)</f>
        <v>11845.561543828786</v>
      </c>
      <c r="I43" s="52">
        <f ca="1">IRR(O43:T43)</f>
        <v>0.2562193115632172</v>
      </c>
      <c r="N43" s="131" cm="1">
        <f t="array" ref="N43:N46">_xlfn.SEQUENCE(4,1,8,2)</f>
        <v>8</v>
      </c>
      <c r="O43" s="145">
        <f>+$G$41</f>
        <v>-31605.482400000001</v>
      </c>
      <c r="P43" s="3" cm="1">
        <f t="array" ref="P43:S43">_xlfn.TAKE(LBO.Unlevered.FCF,1,4)</f>
        <v>5154.9534006879348</v>
      </c>
      <c r="Q43" s="3">
        <v>5098.5769729174835</v>
      </c>
      <c r="R43" s="3">
        <v>5684.2337576963246</v>
      </c>
      <c r="S43" s="3">
        <v>5745.9283260604252</v>
      </c>
      <c r="T43" s="3" cm="1">
        <f t="array" aca="1" ref="T43:T46" ca="1">_xlfn.TAKE(LBO.Unlevered.FCF,1,-1)+_xlfn.ANCHORARRAY(K35)</f>
        <v>59742.159945742729</v>
      </c>
    </row>
    <row r="44" spans="2:20" x14ac:dyDescent="0.25">
      <c r="G44" s="131">
        <v>10</v>
      </c>
      <c r="H44" s="48">
        <f ca="1">+$G$41+SUMPRODUCT(P44:T44,LBO.Discount.Factors)</f>
        <v>19886.236365946701</v>
      </c>
      <c r="I44" s="52">
        <f t="shared" ref="I44:I46" ca="1" si="4">IRR(O44:T44)</f>
        <v>0.30662832588074962</v>
      </c>
      <c r="N44" s="131">
        <v>10</v>
      </c>
      <c r="O44" s="145">
        <f t="shared" ref="O44:O46" si="5">+$G$41</f>
        <v>-31605.482400000001</v>
      </c>
      <c r="P44" s="3" cm="1">
        <f t="array" ref="P44:S44">_xlfn.TAKE(LBO.Unlevered.FCF,1,4)</f>
        <v>5154.9534006879348</v>
      </c>
      <c r="Q44" s="3">
        <v>5098.5769729174835</v>
      </c>
      <c r="R44" s="3">
        <v>5684.2337576963246</v>
      </c>
      <c r="S44" s="3">
        <v>5745.9283260604252</v>
      </c>
      <c r="T44" s="3">
        <f ca="1"/>
        <v>76759.460760266433</v>
      </c>
    </row>
    <row r="45" spans="2:20" x14ac:dyDescent="0.25">
      <c r="G45" s="131">
        <v>12</v>
      </c>
      <c r="H45" s="48">
        <f ca="1">+$G$41+SUMPRODUCT(P45:T45,LBO.Discount.Factors)</f>
        <v>27926.911188064645</v>
      </c>
      <c r="I45" s="52">
        <f t="shared" ca="1" si="4"/>
        <v>0.34962313862234207</v>
      </c>
      <c r="N45" s="131">
        <v>12</v>
      </c>
      <c r="O45" s="145">
        <f t="shared" si="5"/>
        <v>-31605.482400000001</v>
      </c>
      <c r="P45" s="3" cm="1">
        <f t="array" ref="P45:S45">_xlfn.TAKE(LBO.Unlevered.FCF,1,4)</f>
        <v>5154.9534006879348</v>
      </c>
      <c r="Q45" s="3">
        <v>5098.5769729174835</v>
      </c>
      <c r="R45" s="3">
        <v>5684.2337576963246</v>
      </c>
      <c r="S45" s="3">
        <v>5745.9283260604252</v>
      </c>
      <c r="T45" s="3">
        <f ca="1"/>
        <v>93776.761574790173</v>
      </c>
    </row>
    <row r="46" spans="2:20" x14ac:dyDescent="0.25">
      <c r="G46" s="132">
        <v>14</v>
      </c>
      <c r="H46" s="48">
        <f ca="1">+$G$41+SUMPRODUCT(P46:T46,LBO.Discount.Factors)</f>
        <v>35967.586010182575</v>
      </c>
      <c r="I46" s="52">
        <f t="shared" ca="1" si="4"/>
        <v>0.38730477248453665</v>
      </c>
      <c r="N46" s="132">
        <v>14</v>
      </c>
      <c r="O46" s="145">
        <f t="shared" si="5"/>
        <v>-31605.482400000001</v>
      </c>
      <c r="P46" s="3" cm="1">
        <f t="array" ref="P46:S46">_xlfn.TAKE(LBO.Unlevered.FCF,1,4)</f>
        <v>5154.9534006879348</v>
      </c>
      <c r="Q46" s="3">
        <v>5098.5769729174835</v>
      </c>
      <c r="R46" s="3">
        <v>5684.2337576963246</v>
      </c>
      <c r="S46" s="3">
        <v>5745.9283260604252</v>
      </c>
      <c r="T46" s="3">
        <f ca="1"/>
        <v>110794.06238931388</v>
      </c>
    </row>
  </sheetData>
  <mergeCells count="1">
    <mergeCell ref="H33:K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D0F9-851E-443E-A476-66D321BA346C}">
  <sheetPr>
    <tabColor theme="9" tint="-0.249977111117893"/>
  </sheetPr>
  <dimension ref="A1:V633"/>
  <sheetViews>
    <sheetView topLeftCell="B1" zoomScale="106" zoomScaleNormal="175" workbookViewId="0">
      <selection activeCell="V18" sqref="V18"/>
    </sheetView>
  </sheetViews>
  <sheetFormatPr defaultRowHeight="15" x14ac:dyDescent="0.25"/>
  <cols>
    <col min="1" max="5" width="1.85546875" customWidth="1"/>
    <col min="6" max="6" width="32.28515625" customWidth="1"/>
    <col min="7" max="8" width="9" bestFit="1" customWidth="1"/>
    <col min="9" max="10" width="9" customWidth="1"/>
    <col min="11" max="15" width="9.140625" style="3" bestFit="1" customWidth="1"/>
    <col min="16" max="16" width="2.7109375" customWidth="1"/>
    <col min="17" max="19" width="3.7109375" customWidth="1"/>
    <col min="20" max="20" width="4" customWidth="1"/>
  </cols>
  <sheetData>
    <row r="1" spans="1:15" ht="23.25" x14ac:dyDescent="0.35">
      <c r="A1" s="2" t="str">
        <f>company.name&amp;" Financial Statements"</f>
        <v>Legends Inc. Financial Statements</v>
      </c>
    </row>
    <row r="2" spans="1:15" x14ac:dyDescent="0.25">
      <c r="B2" t="s">
        <v>30</v>
      </c>
      <c r="G2" s="5" cm="1">
        <f t="array" ref="G2:I2">dates.hist</f>
        <v>2022</v>
      </c>
      <c r="H2" s="5">
        <v>2023</v>
      </c>
      <c r="I2" s="5">
        <v>2024</v>
      </c>
      <c r="J2" s="123" t="s">
        <v>204</v>
      </c>
      <c r="K2" s="28" cm="1">
        <f t="array" ref="K2:O2">dates.fcst</f>
        <v>2025</v>
      </c>
      <c r="L2" s="28">
        <v>2026</v>
      </c>
      <c r="M2" s="28">
        <v>2027</v>
      </c>
      <c r="N2" s="28">
        <v>2028</v>
      </c>
      <c r="O2" s="28">
        <v>2029</v>
      </c>
    </row>
    <row r="3" spans="1:15" x14ac:dyDescent="0.25">
      <c r="C3" t="s">
        <v>1</v>
      </c>
    </row>
    <row r="4" spans="1:15" x14ac:dyDescent="0.25">
      <c r="D4" t="str" cm="1">
        <f t="array" ref="D4:D6">+Parms!C3:C5</f>
        <v>Foot Solutions</v>
      </c>
      <c r="G4" s="3" cm="1">
        <f t="array" ref="G4:I6">P.H.Revenues</f>
        <v>8399</v>
      </c>
      <c r="H4" s="3">
        <v>8791</v>
      </c>
      <c r="I4" s="3">
        <v>9200</v>
      </c>
      <c r="J4" s="3"/>
      <c r="K4" s="3" cm="1">
        <f t="array" ref="K4:O6">+p.f.revenues</f>
        <v>9628.7065581053193</v>
      </c>
      <c r="L4" s="3">
        <v>10077.035474835175</v>
      </c>
      <c r="M4" s="3">
        <v>10546.4249756851</v>
      </c>
      <c r="N4" s="3">
        <v>11037.581557048488</v>
      </c>
      <c r="O4" s="3">
        <v>11551.662576895307</v>
      </c>
    </row>
    <row r="5" spans="1:15" x14ac:dyDescent="0.25">
      <c r="D5" t="str">
        <v>Greeting Fulfillments</v>
      </c>
      <c r="G5" s="3">
        <v>8696</v>
      </c>
      <c r="H5" s="3">
        <v>8800</v>
      </c>
      <c r="I5" s="3">
        <v>8850</v>
      </c>
      <c r="J5" s="3"/>
      <c r="K5" s="3">
        <v>8928.0629286192179</v>
      </c>
      <c r="L5" s="3">
        <v>8992.8024917293569</v>
      </c>
      <c r="M5" s="3">
        <v>9065.0682655999044</v>
      </c>
      <c r="N5" s="3">
        <v>9134.3580259815844</v>
      </c>
      <c r="O5" s="3">
        <v>9205.9693718225717</v>
      </c>
    </row>
    <row r="6" spans="1:15" x14ac:dyDescent="0.25">
      <c r="D6" t="str">
        <v>Legendwear</v>
      </c>
      <c r="G6" s="3">
        <v>8366</v>
      </c>
      <c r="H6" s="3">
        <v>8657</v>
      </c>
      <c r="I6" s="3">
        <v>8900</v>
      </c>
      <c r="J6" s="3"/>
      <c r="K6" s="3">
        <v>9179.6977111131309</v>
      </c>
      <c r="L6" s="3">
        <v>9452.7775582719223</v>
      </c>
      <c r="M6" s="3">
        <v>9741.9141495365948</v>
      </c>
      <c r="N6" s="3">
        <v>10035.806822449875</v>
      </c>
      <c r="O6" s="3">
        <v>10340.671206939653</v>
      </c>
    </row>
    <row r="7" spans="1:15" x14ac:dyDescent="0.25">
      <c r="C7" t="s">
        <v>31</v>
      </c>
      <c r="G7" s="6">
        <f t="shared" ref="G7:O7" si="0">SUM(G4:G6)</f>
        <v>25461</v>
      </c>
      <c r="H7" s="6">
        <f t="shared" si="0"/>
        <v>26248</v>
      </c>
      <c r="I7" s="6">
        <f t="shared" si="0"/>
        <v>26950</v>
      </c>
      <c r="J7" s="6"/>
      <c r="K7" s="29">
        <f t="shared" si="0"/>
        <v>27736.467197837668</v>
      </c>
      <c r="L7" s="29">
        <f t="shared" si="0"/>
        <v>28522.615524836456</v>
      </c>
      <c r="M7" s="29">
        <f t="shared" si="0"/>
        <v>29353.407390821598</v>
      </c>
      <c r="N7" s="29">
        <f t="shared" si="0"/>
        <v>30207.746405479946</v>
      </c>
      <c r="O7" s="29">
        <f t="shared" si="0"/>
        <v>31098.30315565753</v>
      </c>
    </row>
    <row r="8" spans="1:15" x14ac:dyDescent="0.25">
      <c r="G8" s="3"/>
      <c r="H8" s="3"/>
      <c r="I8" s="3"/>
      <c r="J8" s="3"/>
    </row>
    <row r="9" spans="1:15" x14ac:dyDescent="0.25">
      <c r="C9" t="s">
        <v>6</v>
      </c>
      <c r="G9" s="3"/>
      <c r="H9" s="3"/>
      <c r="I9" s="3"/>
      <c r="J9" s="3"/>
    </row>
    <row r="10" spans="1:15" x14ac:dyDescent="0.25">
      <c r="D10" t="str" cm="1">
        <f t="array" ref="D10:D12">+_xlfn.ANCHORARRAY(D4)</f>
        <v>Foot Solutions</v>
      </c>
      <c r="G10" s="3" cm="1">
        <f t="array" ref="G10:I12">P.H.COGS*P.H.Revenues</f>
        <v>4439.2777106699004</v>
      </c>
      <c r="H10" s="3">
        <v>4566.5317072266644</v>
      </c>
      <c r="I10" s="3">
        <v>4872.5556248578714</v>
      </c>
      <c r="J10" s="3"/>
      <c r="K10" s="3" cm="1">
        <f t="array" ref="K10:O12">+p.f.revenues*p.f.cogs</f>
        <v>5063.5098441887849</v>
      </c>
      <c r="L10" s="3">
        <v>5290.300401403726</v>
      </c>
      <c r="M10" s="3">
        <v>5556.165441504123</v>
      </c>
      <c r="N10" s="3">
        <v>5804.6328504999365</v>
      </c>
      <c r="O10" s="3">
        <v>6075.0664375735923</v>
      </c>
    </row>
    <row r="11" spans="1:15" x14ac:dyDescent="0.25">
      <c r="D11" t="str">
        <v>Greeting Fulfillments</v>
      </c>
      <c r="G11" s="3">
        <v>4778.5573595487722</v>
      </c>
      <c r="H11" s="3">
        <v>4454.6704207464609</v>
      </c>
      <c r="I11" s="3">
        <v>4801.0699743876594</v>
      </c>
      <c r="J11" s="3"/>
      <c r="K11" s="3">
        <v>4756.3316201305624</v>
      </c>
      <c r="L11" s="3">
        <v>4740.543280340833</v>
      </c>
      <c r="M11" s="3">
        <v>4841.9003419399241</v>
      </c>
      <c r="N11" s="3">
        <v>4853.4357133036556</v>
      </c>
      <c r="O11" s="3">
        <v>4887.1863156440722</v>
      </c>
    </row>
    <row r="12" spans="1:15" x14ac:dyDescent="0.25">
      <c r="D12" t="str">
        <v>Legendwear</v>
      </c>
      <c r="G12" s="3">
        <v>4197.1927344860442</v>
      </c>
      <c r="H12" s="3">
        <v>4489.061030873766</v>
      </c>
      <c r="I12" s="3">
        <v>4761.8591558322623</v>
      </c>
      <c r="J12" s="3"/>
      <c r="K12" s="3">
        <v>4759.0116894952844</v>
      </c>
      <c r="L12" s="3">
        <v>4953.3034768647149</v>
      </c>
      <c r="M12" s="3">
        <v>5122.5367050813711</v>
      </c>
      <c r="N12" s="3">
        <v>5246.2429995108796</v>
      </c>
      <c r="O12" s="3">
        <v>5420.5178950341951</v>
      </c>
    </row>
    <row r="13" spans="1:15" x14ac:dyDescent="0.25">
      <c r="C13" t="s">
        <v>32</v>
      </c>
      <c r="G13" s="6">
        <f t="shared" ref="G13:O13" si="1">SUM(G10:G12)</f>
        <v>13415.027804704718</v>
      </c>
      <c r="H13" s="6">
        <f t="shared" si="1"/>
        <v>13510.26315884689</v>
      </c>
      <c r="I13" s="6">
        <f t="shared" si="1"/>
        <v>14435.484755077792</v>
      </c>
      <c r="J13" s="6"/>
      <c r="K13" s="29">
        <f t="shared" si="1"/>
        <v>14578.853153814631</v>
      </c>
      <c r="L13" s="29">
        <f t="shared" si="1"/>
        <v>14984.147158609274</v>
      </c>
      <c r="M13" s="29">
        <f t="shared" si="1"/>
        <v>15520.602488525417</v>
      </c>
      <c r="N13" s="29">
        <f t="shared" si="1"/>
        <v>15904.311563314472</v>
      </c>
      <c r="O13" s="29">
        <f t="shared" si="1"/>
        <v>16382.770648251859</v>
      </c>
    </row>
    <row r="14" spans="1:15" x14ac:dyDescent="0.25">
      <c r="G14" s="3"/>
      <c r="H14" s="3"/>
      <c r="I14" s="3"/>
      <c r="J14" s="3"/>
    </row>
    <row r="15" spans="1:15" x14ac:dyDescent="0.25">
      <c r="C15" t="s">
        <v>33</v>
      </c>
      <c r="G15" s="6" cm="1">
        <f t="array" ref="G15:I15">H.Revenues-H.COGS</f>
        <v>12045.972195295282</v>
      </c>
      <c r="H15" s="6">
        <v>12737.73684115311</v>
      </c>
      <c r="I15" s="6">
        <v>12514.515244922208</v>
      </c>
      <c r="J15" s="9"/>
      <c r="K15" s="30" cm="1">
        <f t="array" ref="K15:O15">F.Revenues-F.COGS</f>
        <v>13157.614044023037</v>
      </c>
      <c r="L15" s="30">
        <v>13538.468366227182</v>
      </c>
      <c r="M15" s="30">
        <v>13832.80490229618</v>
      </c>
      <c r="N15" s="30">
        <v>14303.434842165474</v>
      </c>
      <c r="O15" s="30">
        <v>14715.532507405671</v>
      </c>
    </row>
    <row r="16" spans="1:15" x14ac:dyDescent="0.25">
      <c r="D16" s="7" t="s">
        <v>34</v>
      </c>
      <c r="G16" s="31" cm="1">
        <f t="array" ref="G16:I16">H.Gross.Margin/H.Revenues</f>
        <v>0.47311465359943766</v>
      </c>
      <c r="H16" s="31">
        <v>0.48528409178425441</v>
      </c>
      <c r="I16" s="31">
        <v>0.46436049146279063</v>
      </c>
      <c r="J16" s="31"/>
      <c r="K16" s="31" cm="1">
        <f t="array" ref="K16:O16">F.Margin/F.Revenues</f>
        <v>0.47437959384563594</v>
      </c>
      <c r="L16" s="31">
        <v>0.47465732427092377</v>
      </c>
      <c r="M16" s="31">
        <v>0.47125039754742432</v>
      </c>
      <c r="N16" s="31">
        <v>0.47350221529834835</v>
      </c>
      <c r="O16" s="31">
        <v>0.47319406572601247</v>
      </c>
    </row>
    <row r="17" spans="3:15" x14ac:dyDescent="0.25">
      <c r="G17" s="3"/>
      <c r="H17" s="3"/>
      <c r="I17" s="3"/>
      <c r="J17" s="3"/>
    </row>
    <row r="18" spans="3:15" x14ac:dyDescent="0.25">
      <c r="C18" t="s">
        <v>35</v>
      </c>
      <c r="G18" s="3"/>
      <c r="H18" s="3"/>
      <c r="I18" s="3"/>
      <c r="J18" s="3"/>
    </row>
    <row r="19" spans="3:15" x14ac:dyDescent="0.25">
      <c r="D19" t="s">
        <v>8</v>
      </c>
      <c r="G19" s="3" cm="1">
        <f t="array" ref="G19:I23">H.Revenues*P.H.Fixed.Costs</f>
        <v>1150.8730896536172</v>
      </c>
      <c r="H19" s="3">
        <v>1089.8086129273595</v>
      </c>
      <c r="I19" s="3">
        <v>1118.0365187963178</v>
      </c>
      <c r="J19" s="3"/>
      <c r="K19" s="3" cm="1">
        <f t="array" ref="K19:O23">+F.Revenues*p.f.fixed.costs</f>
        <v>1185.3334275956911</v>
      </c>
      <c r="L19" s="3">
        <v>1195.4857453008672</v>
      </c>
      <c r="M19" s="3">
        <v>1234.1615938586178</v>
      </c>
      <c r="N19" s="3">
        <v>1275.7142648720283</v>
      </c>
      <c r="O19" s="3">
        <v>1308.0971300881015</v>
      </c>
    </row>
    <row r="20" spans="3:15" x14ac:dyDescent="0.25">
      <c r="D20" t="s">
        <v>9</v>
      </c>
      <c r="G20" s="3">
        <v>1009.8940912050625</v>
      </c>
      <c r="H20" s="3">
        <v>1266.5318895633311</v>
      </c>
      <c r="I20" s="3">
        <v>1155.1551449909102</v>
      </c>
      <c r="J20" s="3"/>
      <c r="K20" s="3">
        <v>1209.1228677330655</v>
      </c>
      <c r="L20" s="3">
        <v>1280.7478121951528</v>
      </c>
      <c r="M20" s="3">
        <v>1285.2784912832492</v>
      </c>
      <c r="N20" s="3">
        <v>1331.9853007587672</v>
      </c>
      <c r="O20" s="3">
        <v>1376.4461281093304</v>
      </c>
    </row>
    <row r="21" spans="3:15" x14ac:dyDescent="0.25">
      <c r="D21" t="s">
        <v>10</v>
      </c>
      <c r="G21" s="3">
        <v>782.50009925083941</v>
      </c>
      <c r="H21" s="3">
        <v>979.22871974161512</v>
      </c>
      <c r="I21" s="3">
        <v>1119.950732720147</v>
      </c>
      <c r="J21" s="3"/>
      <c r="K21" s="3">
        <v>1013.2749930960466</v>
      </c>
      <c r="L21" s="3">
        <v>1097.1284614632252</v>
      </c>
      <c r="M21" s="3">
        <v>1140.4195584612587</v>
      </c>
      <c r="N21" s="3">
        <v>1146.3718318755843</v>
      </c>
      <c r="O21" s="3">
        <v>1194.8606844250098</v>
      </c>
    </row>
    <row r="22" spans="3:15" x14ac:dyDescent="0.25">
      <c r="D22" t="s">
        <v>11</v>
      </c>
      <c r="G22" s="3">
        <v>803.18113443462266</v>
      </c>
      <c r="H22" s="3">
        <v>986.38286708445185</v>
      </c>
      <c r="I22" s="3">
        <v>983.27218939278293</v>
      </c>
      <c r="J22" s="3"/>
      <c r="K22" s="3">
        <v>976.41565916388004</v>
      </c>
      <c r="L22" s="3">
        <v>1038.8670955781265</v>
      </c>
      <c r="M22" s="3">
        <v>1057.8082096205399</v>
      </c>
      <c r="N22" s="3">
        <v>1084.0842652593772</v>
      </c>
      <c r="O22" s="3">
        <v>1123.1378297026713</v>
      </c>
    </row>
    <row r="23" spans="3:15" x14ac:dyDescent="0.25">
      <c r="D23" t="s">
        <v>12</v>
      </c>
      <c r="G23" s="3">
        <v>959.69878163148621</v>
      </c>
      <c r="H23" s="3">
        <v>1217.2542608912165</v>
      </c>
      <c r="I23" s="3">
        <v>907.41535653422523</v>
      </c>
      <c r="J23" s="3"/>
      <c r="K23" s="3">
        <v>1088.5486012799897</v>
      </c>
      <c r="L23" s="3">
        <v>1134.1691819983275</v>
      </c>
      <c r="M23" s="3">
        <v>1102.5169222332236</v>
      </c>
      <c r="N23" s="3">
        <v>1173.7730587508097</v>
      </c>
      <c r="O23" s="3">
        <v>1204.3403278186975</v>
      </c>
    </row>
    <row r="24" spans="3:15" x14ac:dyDescent="0.25">
      <c r="D24" t="s">
        <v>13</v>
      </c>
      <c r="G24" s="3" cm="1">
        <f t="array" ref="G24:I24">P.H.Depreciation.Expense</f>
        <v>1000</v>
      </c>
      <c r="H24" s="3">
        <v>1000</v>
      </c>
      <c r="I24" s="3">
        <v>1000</v>
      </c>
      <c r="J24" s="3"/>
      <c r="K24" s="3" cm="1">
        <f t="array" ref="K24:O24">p.f.depreciation.expense</f>
        <v>1000</v>
      </c>
      <c r="L24" s="3">
        <v>1000</v>
      </c>
      <c r="M24" s="3">
        <v>1000</v>
      </c>
      <c r="N24" s="3">
        <v>1000</v>
      </c>
      <c r="O24" s="3">
        <v>1000</v>
      </c>
    </row>
    <row r="25" spans="3:15" x14ac:dyDescent="0.25">
      <c r="D25" t="s">
        <v>14</v>
      </c>
      <c r="G25" s="3" cm="1">
        <f t="array" ref="G25:I25">P.H.Amortization.Expense</f>
        <v>250</v>
      </c>
      <c r="H25" s="3">
        <v>250</v>
      </c>
      <c r="I25" s="3">
        <v>250</v>
      </c>
      <c r="J25" s="3"/>
      <c r="K25" s="3" cm="1">
        <f t="array" ref="K25:O25">p.f.amortization.expense</f>
        <v>2476.6996626755363</v>
      </c>
      <c r="L25" s="3">
        <v>2476.6996626755363</v>
      </c>
      <c r="M25" s="3">
        <v>2476.6996626755363</v>
      </c>
      <c r="N25" s="3">
        <v>2476.6996626755363</v>
      </c>
      <c r="O25" s="3">
        <v>2476.6996626755363</v>
      </c>
    </row>
    <row r="26" spans="3:15" x14ac:dyDescent="0.25">
      <c r="C26" t="s">
        <v>36</v>
      </c>
      <c r="G26" s="6">
        <f t="shared" ref="G26:O26" si="2">SUM(G19:G25)</f>
        <v>5956.1471961756279</v>
      </c>
      <c r="H26" s="6">
        <f t="shared" si="2"/>
        <v>6789.2063502079736</v>
      </c>
      <c r="I26" s="6">
        <f t="shared" si="2"/>
        <v>6533.8299424343832</v>
      </c>
      <c r="J26" s="6"/>
      <c r="K26" s="32">
        <f t="shared" si="2"/>
        <v>8949.395211544208</v>
      </c>
      <c r="L26" s="32">
        <f t="shared" si="2"/>
        <v>9223.0979592112344</v>
      </c>
      <c r="M26" s="32">
        <f t="shared" si="2"/>
        <v>9296.8844381324252</v>
      </c>
      <c r="N26" s="32">
        <f t="shared" si="2"/>
        <v>9488.6283841921031</v>
      </c>
      <c r="O26" s="32">
        <f t="shared" si="2"/>
        <v>9683.5817628193472</v>
      </c>
    </row>
    <row r="27" spans="3:15" x14ac:dyDescent="0.25">
      <c r="G27" s="3"/>
      <c r="H27" s="3"/>
      <c r="I27" s="3"/>
      <c r="J27" s="3"/>
    </row>
    <row r="28" spans="3:15" x14ac:dyDescent="0.25">
      <c r="C28" t="s">
        <v>37</v>
      </c>
      <c r="G28" s="6" cm="1">
        <f t="array" ref="G28:I28">H.Gross.Margin-H.Fixed.Costs</f>
        <v>6089.8249991196544</v>
      </c>
      <c r="H28" s="6">
        <v>5948.5304909451361</v>
      </c>
      <c r="I28" s="6">
        <v>5980.6853024878246</v>
      </c>
      <c r="J28" s="9"/>
      <c r="K28" s="33" cm="1">
        <f t="array" ref="K28:O28">F.Margin-F.Fixed.Costs</f>
        <v>4208.2188324788294</v>
      </c>
      <c r="L28" s="33">
        <v>4315.3704070159474</v>
      </c>
      <c r="M28" s="33">
        <v>4535.9204641637552</v>
      </c>
      <c r="N28" s="33">
        <v>4814.8064579733709</v>
      </c>
      <c r="O28" s="33">
        <v>5031.9507445863237</v>
      </c>
    </row>
    <row r="29" spans="3:15" x14ac:dyDescent="0.25">
      <c r="D29" s="7" t="s">
        <v>34</v>
      </c>
      <c r="G29" s="31" cm="1">
        <f t="array" ref="G29:I29">H.Operating.Income/H.Revenues</f>
        <v>0.23918247512350868</v>
      </c>
      <c r="H29" s="31">
        <v>0.22662795226093935</v>
      </c>
      <c r="I29" s="31">
        <v>0.22191782198470592</v>
      </c>
      <c r="J29" s="31"/>
      <c r="K29" s="31" cm="1">
        <f t="array" ref="K29:O29">F.EBIT/F.Revenues</f>
        <v>0.1517215153055578</v>
      </c>
      <c r="L29" s="31">
        <v>0.15129644766477604</v>
      </c>
      <c r="M29" s="31">
        <v>0.15452790211953638</v>
      </c>
      <c r="N29" s="31">
        <v>0.15938979337763254</v>
      </c>
      <c r="O29" s="31">
        <v>0.16180788769727106</v>
      </c>
    </row>
    <row r="30" spans="3:15" x14ac:dyDescent="0.25">
      <c r="G30" s="3"/>
      <c r="H30" s="3"/>
      <c r="I30" s="3"/>
      <c r="J30" s="3"/>
    </row>
    <row r="31" spans="3:15" x14ac:dyDescent="0.25">
      <c r="C31" t="s">
        <v>38</v>
      </c>
      <c r="G31" s="10" cm="1">
        <f t="array" ref="G31:I31">D.H.Interest.Expense</f>
        <v>525.5</v>
      </c>
      <c r="H31" s="10">
        <v>509.375</v>
      </c>
      <c r="I31" s="10">
        <v>370.25</v>
      </c>
      <c r="J31" s="10"/>
      <c r="K31" s="10" cm="1">
        <f t="array" aca="1" ref="K31:O31" ca="1">D.F.Interest.Expense</f>
        <v>3324.1992957682423</v>
      </c>
      <c r="L31" s="10">
        <f ca="1"/>
        <v>3122.8633317489184</v>
      </c>
      <c r="M31" s="10">
        <f ca="1"/>
        <v>2869.5526741706317</v>
      </c>
      <c r="N31" s="10">
        <f ca="1"/>
        <v>2587.7441111277094</v>
      </c>
      <c r="O31" s="10">
        <f ca="1"/>
        <v>2260.8680647852261</v>
      </c>
    </row>
    <row r="32" spans="3:15" x14ac:dyDescent="0.25">
      <c r="G32" s="3"/>
      <c r="H32" s="3"/>
      <c r="I32" s="3"/>
      <c r="J32" s="3"/>
    </row>
    <row r="33" spans="2:15" x14ac:dyDescent="0.25">
      <c r="C33" t="s">
        <v>39</v>
      </c>
      <c r="G33" s="9" cm="1">
        <f t="array" ref="G33:I33">H.EBIT-G31:I31</f>
        <v>5564.3249991196544</v>
      </c>
      <c r="H33" s="9">
        <v>5439.1554909451361</v>
      </c>
      <c r="I33" s="9">
        <v>5610.4353024878246</v>
      </c>
      <c r="J33" s="9"/>
      <c r="K33" s="3" cm="1">
        <f t="array" aca="1" ref="K33:O33" ca="1">F.EBIT-_xlfn.ANCHORARRAY(K31)</f>
        <v>884.01953671058709</v>
      </c>
      <c r="L33" s="3">
        <f ca="1"/>
        <v>1192.507075267029</v>
      </c>
      <c r="M33" s="3">
        <f ca="1"/>
        <v>1666.3677899931236</v>
      </c>
      <c r="N33" s="3">
        <f ca="1"/>
        <v>2227.0623468456615</v>
      </c>
      <c r="O33" s="3">
        <f ca="1"/>
        <v>2771.0826798010976</v>
      </c>
    </row>
    <row r="34" spans="2:15" x14ac:dyDescent="0.25">
      <c r="G34" s="3"/>
      <c r="H34" s="3"/>
      <c r="I34" s="3"/>
      <c r="J34" s="3"/>
    </row>
    <row r="35" spans="2:15" x14ac:dyDescent="0.25">
      <c r="C35" t="s">
        <v>40</v>
      </c>
      <c r="G35" s="10" cm="1">
        <f t="array" ref="G35:I35">+_xlfn.ANCHORARRAY(G33)*tax.rate</f>
        <v>1168.5082498151273</v>
      </c>
      <c r="H35" s="10">
        <v>1142.2226530984785</v>
      </c>
      <c r="I35" s="10">
        <v>1178.1914135224431</v>
      </c>
      <c r="J35" s="10"/>
      <c r="K35" s="10" cm="1">
        <f t="array" aca="1" ref="K35:O35" ca="1">+_xlfn.ANCHORARRAY(K33)*tax.rate</f>
        <v>185.64410270922329</v>
      </c>
      <c r="L35" s="10">
        <f ca="1"/>
        <v>250.42648580607607</v>
      </c>
      <c r="M35" s="10">
        <f ca="1"/>
        <v>349.93723589855591</v>
      </c>
      <c r="N35" s="10">
        <f ca="1"/>
        <v>467.6830928375889</v>
      </c>
      <c r="O35" s="10">
        <f ca="1"/>
        <v>581.92736275823052</v>
      </c>
    </row>
    <row r="36" spans="2:15" x14ac:dyDescent="0.25">
      <c r="G36" s="3"/>
      <c r="H36" s="3"/>
      <c r="I36" s="3"/>
      <c r="J36" s="3"/>
    </row>
    <row r="37" spans="2:15" ht="15.75" thickBot="1" x14ac:dyDescent="0.3">
      <c r="C37" t="s">
        <v>41</v>
      </c>
      <c r="G37" s="11" cm="1">
        <f t="array" ref="G37:I37">+_xlfn.ANCHORARRAY(G33)-_xlfn.ANCHORARRAY(G35)</f>
        <v>4395.8167493045275</v>
      </c>
      <c r="H37" s="11">
        <v>4296.932837846658</v>
      </c>
      <c r="I37" s="11">
        <v>4432.2438889653813</v>
      </c>
      <c r="J37" s="11"/>
      <c r="K37" s="37" cm="1">
        <f t="array" aca="1" ref="K37:O37" ca="1">+_xlfn.ANCHORARRAY(K33)-_xlfn.ANCHORARRAY(K35)</f>
        <v>698.37543400136383</v>
      </c>
      <c r="L37" s="37">
        <f ca="1"/>
        <v>942.08058946095298</v>
      </c>
      <c r="M37" s="37">
        <f ca="1"/>
        <v>1316.4305540945677</v>
      </c>
      <c r="N37" s="37">
        <f ca="1"/>
        <v>1759.3792540080726</v>
      </c>
      <c r="O37" s="37">
        <f ca="1"/>
        <v>2189.155317042867</v>
      </c>
    </row>
    <row r="38" spans="2:15" ht="15.75" thickTop="1" x14ac:dyDescent="0.25">
      <c r="G38" s="3"/>
      <c r="H38" s="3"/>
      <c r="I38" s="3"/>
      <c r="J38" s="3"/>
    </row>
    <row r="39" spans="2:15" x14ac:dyDescent="0.25">
      <c r="C39" t="s">
        <v>42</v>
      </c>
      <c r="G39" s="10" cm="1">
        <f t="array" ref="G39:I39">-P.H.Dividends</f>
        <v>-1500</v>
      </c>
      <c r="H39" s="10">
        <v>-1500</v>
      </c>
      <c r="I39" s="10">
        <v>-1500</v>
      </c>
      <c r="J39" s="9"/>
      <c r="K39" s="3" cm="1">
        <f t="array" ref="K39:O39">-p.f.dividends</f>
        <v>0</v>
      </c>
      <c r="L39" s="3">
        <v>0</v>
      </c>
      <c r="M39" s="3">
        <v>0</v>
      </c>
      <c r="N39" s="3">
        <v>0</v>
      </c>
      <c r="O39" s="3">
        <v>0</v>
      </c>
    </row>
    <row r="40" spans="2:15" x14ac:dyDescent="0.25">
      <c r="C40" t="s">
        <v>43</v>
      </c>
      <c r="G40" s="3" cm="1">
        <f t="array" ref="G40:I40">+_xlfn.ANCHORARRAY(G37)+_xlfn.ANCHORARRAY(G39)</f>
        <v>2895.8167493045275</v>
      </c>
      <c r="H40" s="3">
        <v>2796.932837846658</v>
      </c>
      <c r="I40" s="3">
        <v>2932.2438889653813</v>
      </c>
      <c r="J40" s="3"/>
      <c r="K40" s="3" cm="1">
        <f t="array" aca="1" ref="K40:O40" ca="1">+_xlfn.ANCHORARRAY(K37)+_xlfn.ANCHORARRAY(K39)</f>
        <v>698.37543400136383</v>
      </c>
      <c r="L40" s="6">
        <f ca="1"/>
        <v>942.08058946095298</v>
      </c>
      <c r="M40" s="6">
        <f ca="1"/>
        <v>1316.4305540945677</v>
      </c>
      <c r="N40" s="6">
        <f ca="1"/>
        <v>1759.3792540080726</v>
      </c>
      <c r="O40" s="6">
        <f ca="1"/>
        <v>2189.155317042867</v>
      </c>
    </row>
    <row r="41" spans="2:15" x14ac:dyDescent="0.25">
      <c r="G41" s="3"/>
      <c r="H41" s="3"/>
      <c r="I41" s="3"/>
      <c r="J41" s="3"/>
    </row>
    <row r="42" spans="2:15" x14ac:dyDescent="0.25">
      <c r="G42" s="3"/>
      <c r="H42" s="3"/>
      <c r="I42" s="3"/>
      <c r="J42" s="3"/>
    </row>
    <row r="43" spans="2:15" x14ac:dyDescent="0.25">
      <c r="B43" t="s">
        <v>18</v>
      </c>
      <c r="G43" s="5" cm="1">
        <f t="array" ref="G43:I43">dates.hist</f>
        <v>2022</v>
      </c>
      <c r="H43" s="5">
        <v>2023</v>
      </c>
      <c r="I43" s="5">
        <v>2024</v>
      </c>
      <c r="J43" s="123" t="s">
        <v>204</v>
      </c>
      <c r="K43" s="28" cm="1">
        <f t="array" ref="K43:O43">dates.fcst</f>
        <v>2025</v>
      </c>
      <c r="L43" s="28">
        <v>2026</v>
      </c>
      <c r="M43" s="28">
        <v>2027</v>
      </c>
      <c r="N43" s="28">
        <v>2028</v>
      </c>
      <c r="O43" s="28">
        <v>2029</v>
      </c>
    </row>
    <row r="44" spans="2:15" x14ac:dyDescent="0.25">
      <c r="C44" t="s">
        <v>44</v>
      </c>
      <c r="G44" s="3"/>
      <c r="H44" s="3"/>
      <c r="I44" s="3"/>
      <c r="J44" s="3"/>
    </row>
    <row r="45" spans="2:15" x14ac:dyDescent="0.25">
      <c r="D45" t="s">
        <v>45</v>
      </c>
      <c r="G45" s="3"/>
      <c r="H45" s="3"/>
      <c r="I45" s="3"/>
      <c r="J45" s="3"/>
    </row>
    <row r="46" spans="2:15" x14ac:dyDescent="0.25">
      <c r="E46" t="s">
        <v>46</v>
      </c>
      <c r="G46" s="14" cm="1">
        <f t="array" ref="G46:I46">H.Cash</f>
        <v>4500</v>
      </c>
      <c r="H46" s="14">
        <v>5168.3457311683742</v>
      </c>
      <c r="I46" s="14">
        <v>3992.7969209246939</v>
      </c>
      <c r="J46" s="14">
        <f>Min.Cash</f>
        <v>5000</v>
      </c>
      <c r="K46" s="14" cm="1">
        <f t="array" aca="1" ref="K46:O46" ca="1">F.Cash</f>
        <v>5342.9453190103404</v>
      </c>
      <c r="L46" s="14">
        <f ca="1"/>
        <v>5605.8018596188404</v>
      </c>
      <c r="M46" s="14">
        <f ca="1"/>
        <v>6042.9636214464017</v>
      </c>
      <c r="N46" s="14">
        <f ca="1"/>
        <v>6429.1792403874424</v>
      </c>
      <c r="O46" s="14">
        <f ca="1"/>
        <v>6887.389892796562</v>
      </c>
    </row>
    <row r="47" spans="2:15" x14ac:dyDescent="0.25">
      <c r="E47" t="s">
        <v>47</v>
      </c>
      <c r="G47" s="3" cm="1">
        <f t="array" ref="G47:I47">+H.Revenues*(P.H.Accounts.Rec.Days/365)</f>
        <v>4185.3698630136987</v>
      </c>
      <c r="H47" s="3">
        <v>4314.7397260273974</v>
      </c>
      <c r="I47" s="3">
        <v>4430.1369863013697</v>
      </c>
      <c r="J47" s="3">
        <f>+I47</f>
        <v>4430.1369863013697</v>
      </c>
      <c r="K47" s="3" cm="1">
        <f t="array" ref="K47:O47">F.Revenues*(p.f.accounts.rec.days/365)</f>
        <v>4407.4386232180404</v>
      </c>
      <c r="L47" s="3">
        <v>4532.3608231246972</v>
      </c>
      <c r="M47" s="3">
        <v>4503.536476400026</v>
      </c>
      <c r="N47" s="3">
        <v>4634.6131471421286</v>
      </c>
      <c r="O47" s="3">
        <v>4600.8448504260459</v>
      </c>
    </row>
    <row r="48" spans="2:15" x14ac:dyDescent="0.25">
      <c r="E48" t="s">
        <v>48</v>
      </c>
      <c r="G48" s="3" cm="1">
        <f t="array" ref="G48:I48">H.COGS*(P.H.Inventory.Days/365)</f>
        <v>1176.1120267138383</v>
      </c>
      <c r="H48" s="3">
        <v>1184.4614276249329</v>
      </c>
      <c r="I48" s="3">
        <v>1265.5767456506558</v>
      </c>
      <c r="J48" s="3">
        <f>+I48</f>
        <v>1265.5767456506558</v>
      </c>
      <c r="K48" s="3" cm="1">
        <f t="array" ref="K48:O48">+F.COGS*(p.f.inventory.days/365)</f>
        <v>1198.2619030532574</v>
      </c>
      <c r="L48" s="3">
        <v>1231.573739063776</v>
      </c>
      <c r="M48" s="3">
        <v>1190.6215607635938</v>
      </c>
      <c r="N48" s="3">
        <v>1220.0567774597403</v>
      </c>
      <c r="O48" s="3">
        <v>1166.991881793283</v>
      </c>
    </row>
    <row r="49" spans="3:15" x14ac:dyDescent="0.25">
      <c r="E49" t="s">
        <v>22</v>
      </c>
      <c r="G49" s="3" cm="1">
        <f t="array" ref="G49:I49">P.H.Prepaids*H.Revenues</f>
        <v>763.82999999999993</v>
      </c>
      <c r="H49" s="3">
        <v>787.43999999999994</v>
      </c>
      <c r="I49" s="3">
        <v>808.5</v>
      </c>
      <c r="J49" s="3">
        <f>+I49</f>
        <v>808.5</v>
      </c>
      <c r="K49" s="3" cm="1">
        <f t="array" ref="K49:O49">p.f.prepaids*F.Revenues</f>
        <v>832.09401593512996</v>
      </c>
      <c r="L49" s="3">
        <v>855.6784657450936</v>
      </c>
      <c r="M49" s="3">
        <v>880.60222172464785</v>
      </c>
      <c r="N49" s="3">
        <v>906.23239216439833</v>
      </c>
      <c r="O49" s="3">
        <v>932.94909466972581</v>
      </c>
    </row>
    <row r="50" spans="3:15" x14ac:dyDescent="0.25">
      <c r="D50" t="s">
        <v>49</v>
      </c>
      <c r="G50" s="6">
        <f t="shared" ref="G50:O50" si="3">SUM(G46:G49)</f>
        <v>10625.311889727536</v>
      </c>
      <c r="H50" s="6">
        <f t="shared" si="3"/>
        <v>11454.986884820704</v>
      </c>
      <c r="I50" s="6">
        <f t="shared" si="3"/>
        <v>10497.010652876719</v>
      </c>
      <c r="J50" s="6">
        <f>SUM(J46:J49)</f>
        <v>11504.213731952026</v>
      </c>
      <c r="K50" s="6">
        <f t="shared" ca="1" si="3"/>
        <v>11780.739861216769</v>
      </c>
      <c r="L50" s="6">
        <f t="shared" ca="1" si="3"/>
        <v>12225.414887552406</v>
      </c>
      <c r="M50" s="6">
        <f t="shared" ca="1" si="3"/>
        <v>12617.723880334668</v>
      </c>
      <c r="N50" s="6">
        <f t="shared" ca="1" si="3"/>
        <v>13190.08155715371</v>
      </c>
      <c r="O50" s="6">
        <f t="shared" ca="1" si="3"/>
        <v>13588.175719685618</v>
      </c>
    </row>
    <row r="51" spans="3:15" x14ac:dyDescent="0.25">
      <c r="G51" s="3"/>
      <c r="H51" s="3"/>
      <c r="I51" s="3"/>
      <c r="J51" s="3"/>
    </row>
    <row r="52" spans="3:15" x14ac:dyDescent="0.25">
      <c r="D52" t="s">
        <v>50</v>
      </c>
      <c r="G52" s="3"/>
      <c r="H52" s="3"/>
      <c r="I52" s="3"/>
      <c r="J52" s="3"/>
    </row>
    <row r="53" spans="3:15" x14ac:dyDescent="0.25">
      <c r="E53" t="s">
        <v>51</v>
      </c>
      <c r="G53" s="3">
        <f>Starting.PPE</f>
        <v>6000</v>
      </c>
      <c r="H53" s="3">
        <f>+G53+Parms!H32</f>
        <v>8500</v>
      </c>
      <c r="I53" s="3">
        <f>+H53+Parms!I32</f>
        <v>11000</v>
      </c>
      <c r="J53" s="3">
        <f>+I53</f>
        <v>11000</v>
      </c>
      <c r="K53" s="3">
        <f>+J53+Parms!J32</f>
        <v>12750</v>
      </c>
      <c r="L53" s="3">
        <f>+K53+Parms!K32</f>
        <v>14500</v>
      </c>
      <c r="M53" s="3">
        <f>+L53+Parms!L32</f>
        <v>16000</v>
      </c>
      <c r="N53" s="3">
        <f>+M53+Parms!M32</f>
        <v>17500</v>
      </c>
      <c r="O53" s="3">
        <f>+N53+Parms!N32</f>
        <v>19000</v>
      </c>
    </row>
    <row r="54" spans="3:15" x14ac:dyDescent="0.25">
      <c r="E54" t="s">
        <v>52</v>
      </c>
      <c r="G54" s="3">
        <f>-Starting.Acc.Dep</f>
        <v>-1500</v>
      </c>
      <c r="H54" s="3">
        <f>+G54-H24</f>
        <v>-2500</v>
      </c>
      <c r="I54" s="3">
        <f>+H54-I24</f>
        <v>-3500</v>
      </c>
      <c r="J54" s="3">
        <f>+I54</f>
        <v>-3500</v>
      </c>
      <c r="K54" s="3">
        <f t="shared" ref="K54:O54" si="4">+J54-K24</f>
        <v>-4500</v>
      </c>
      <c r="L54" s="3">
        <f t="shared" si="4"/>
        <v>-5500</v>
      </c>
      <c r="M54" s="3">
        <f t="shared" si="4"/>
        <v>-6500</v>
      </c>
      <c r="N54" s="3">
        <f t="shared" si="4"/>
        <v>-7500</v>
      </c>
      <c r="O54" s="3">
        <f t="shared" si="4"/>
        <v>-8500</v>
      </c>
    </row>
    <row r="55" spans="3:15" x14ac:dyDescent="0.25">
      <c r="E55" s="12" t="s">
        <v>53</v>
      </c>
      <c r="G55" s="6">
        <f t="shared" ref="G55:O55" si="5">SUM(G53:G54)</f>
        <v>4500</v>
      </c>
      <c r="H55" s="6">
        <f t="shared" si="5"/>
        <v>6000</v>
      </c>
      <c r="I55" s="6">
        <f t="shared" si="5"/>
        <v>7500</v>
      </c>
      <c r="J55" s="6">
        <f>+I55</f>
        <v>7500</v>
      </c>
      <c r="K55" s="6">
        <f t="shared" ref="K55" si="6">SUM(K53:K54)</f>
        <v>8250</v>
      </c>
      <c r="L55" s="6">
        <f t="shared" si="5"/>
        <v>9000</v>
      </c>
      <c r="M55" s="6">
        <f t="shared" si="5"/>
        <v>9500</v>
      </c>
      <c r="N55" s="6">
        <f t="shared" si="5"/>
        <v>10000</v>
      </c>
      <c r="O55" s="6">
        <f t="shared" si="5"/>
        <v>10500</v>
      </c>
    </row>
    <row r="56" spans="3:15" x14ac:dyDescent="0.25">
      <c r="E56" t="s">
        <v>54</v>
      </c>
      <c r="G56" s="3">
        <f>starting.goodwill</f>
        <v>2000</v>
      </c>
      <c r="H56" s="3">
        <f>+G56-H25</f>
        <v>1750</v>
      </c>
      <c r="I56" s="3">
        <f>+H56-I25</f>
        <v>1500</v>
      </c>
      <c r="J56" s="3">
        <f>+I56+LBO.Goodwill</f>
        <v>46033.993253510722</v>
      </c>
      <c r="K56" s="3">
        <f t="shared" ref="K56:O56" si="7">+J56-K25</f>
        <v>43557.293590835186</v>
      </c>
      <c r="L56" s="3">
        <f t="shared" si="7"/>
        <v>41080.593928159651</v>
      </c>
      <c r="M56" s="3">
        <f t="shared" si="7"/>
        <v>38603.894265484116</v>
      </c>
      <c r="N56" s="3">
        <f t="shared" si="7"/>
        <v>36127.19460280858</v>
      </c>
      <c r="O56" s="3">
        <f t="shared" si="7"/>
        <v>33650.494940133045</v>
      </c>
    </row>
    <row r="57" spans="3:15" x14ac:dyDescent="0.25">
      <c r="E57" t="s">
        <v>55</v>
      </c>
      <c r="G57" s="3">
        <v>1000</v>
      </c>
      <c r="H57" s="3">
        <f>+G57</f>
        <v>1000</v>
      </c>
      <c r="I57" s="3">
        <f>+H57</f>
        <v>1000</v>
      </c>
      <c r="J57" s="3">
        <f>+I57</f>
        <v>1000</v>
      </c>
      <c r="K57" s="3">
        <f t="shared" ref="K57:O57" si="8">+J57</f>
        <v>1000</v>
      </c>
      <c r="L57" s="3">
        <f t="shared" si="8"/>
        <v>1000</v>
      </c>
      <c r="M57" s="3">
        <f t="shared" si="8"/>
        <v>1000</v>
      </c>
      <c r="N57" s="3">
        <f t="shared" si="8"/>
        <v>1000</v>
      </c>
      <c r="O57" s="3">
        <f t="shared" si="8"/>
        <v>1000</v>
      </c>
    </row>
    <row r="58" spans="3:15" x14ac:dyDescent="0.25">
      <c r="D58" t="s">
        <v>56</v>
      </c>
      <c r="G58" s="6">
        <f>SUM(G55:G57)</f>
        <v>7500</v>
      </c>
      <c r="H58" s="6">
        <f t="shared" ref="H58:O58" si="9">SUM(H55:H57)</f>
        <v>8750</v>
      </c>
      <c r="I58" s="6">
        <f t="shared" si="9"/>
        <v>10000</v>
      </c>
      <c r="J58" s="6">
        <f>SUM(J55:J57)</f>
        <v>54533.993253510722</v>
      </c>
      <c r="K58" s="6">
        <f t="shared" ref="K58" si="10">SUM(K55:K57)</f>
        <v>52807.293590835186</v>
      </c>
      <c r="L58" s="6">
        <f t="shared" si="9"/>
        <v>51080.593928159651</v>
      </c>
      <c r="M58" s="6">
        <f t="shared" si="9"/>
        <v>49103.894265484116</v>
      </c>
      <c r="N58" s="6">
        <f t="shared" si="9"/>
        <v>47127.19460280858</v>
      </c>
      <c r="O58" s="6">
        <f t="shared" si="9"/>
        <v>45150.494940133045</v>
      </c>
    </row>
    <row r="59" spans="3:15" x14ac:dyDescent="0.25">
      <c r="G59" s="3"/>
      <c r="H59" s="3"/>
      <c r="I59" s="3"/>
      <c r="J59" s="3"/>
    </row>
    <row r="60" spans="3:15" ht="15.75" thickBot="1" x14ac:dyDescent="0.3">
      <c r="C60" t="s">
        <v>57</v>
      </c>
      <c r="E60" s="12"/>
      <c r="G60" s="13" cm="1">
        <f t="array" ref="G60:I60">+G50:I50+G58:I58</f>
        <v>18125.311889727534</v>
      </c>
      <c r="H60" s="13">
        <v>20204.986884820704</v>
      </c>
      <c r="I60" s="13">
        <v>20497.010652876721</v>
      </c>
      <c r="J60" s="13">
        <f>+J50+J58</f>
        <v>66038.206985462748</v>
      </c>
      <c r="K60" s="13" cm="1">
        <f t="array" aca="1" ref="K60:O60" ca="1">+K50:O50+K58:O58</f>
        <v>64588.033452051954</v>
      </c>
      <c r="L60" s="13">
        <f ca="1"/>
        <v>63306.008815712055</v>
      </c>
      <c r="M60" s="13">
        <f ca="1"/>
        <v>61721.618145818786</v>
      </c>
      <c r="N60" s="13">
        <f ca="1"/>
        <v>60317.27615996229</v>
      </c>
      <c r="O60" s="13">
        <f ca="1"/>
        <v>58738.670659818665</v>
      </c>
    </row>
    <row r="61" spans="3:15" ht="15.75" thickTop="1" x14ac:dyDescent="0.25">
      <c r="G61" s="3"/>
      <c r="H61" s="3"/>
      <c r="I61" s="3"/>
      <c r="J61" s="3"/>
    </row>
    <row r="62" spans="3:15" x14ac:dyDescent="0.25">
      <c r="C62" t="s">
        <v>58</v>
      </c>
      <c r="G62" s="3"/>
      <c r="H62" s="3"/>
      <c r="I62" s="3"/>
      <c r="J62" s="3"/>
    </row>
    <row r="63" spans="3:15" x14ac:dyDescent="0.25">
      <c r="D63" t="s">
        <v>59</v>
      </c>
      <c r="G63" s="3"/>
      <c r="H63" s="3"/>
      <c r="I63" s="3"/>
      <c r="J63" s="3"/>
    </row>
    <row r="64" spans="3:15" x14ac:dyDescent="0.25">
      <c r="E64" t="s">
        <v>60</v>
      </c>
      <c r="G64" s="3"/>
      <c r="H64" s="3"/>
      <c r="I64" s="3"/>
      <c r="J64" s="3"/>
    </row>
    <row r="65" spans="4:16" x14ac:dyDescent="0.25">
      <c r="E65" s="12" t="s">
        <v>61</v>
      </c>
      <c r="G65" s="3" cm="1">
        <f t="array" ref="G65:I65">H.COGS*(P.H.Accounts.Pay.Days/365)</f>
        <v>1286.3725292182605</v>
      </c>
      <c r="H65" s="3">
        <v>1295.5046864647702</v>
      </c>
      <c r="I65" s="3">
        <v>1384.2245655554048</v>
      </c>
      <c r="J65" s="3">
        <f>+I65</f>
        <v>1384.2245655554048</v>
      </c>
      <c r="K65" s="3" cm="1">
        <f t="array" ref="K65:O65">F.COGS*(p.f.accounts.payable.days/365)</f>
        <v>1397.9722202288001</v>
      </c>
      <c r="L65" s="3">
        <v>1518.9409448453237</v>
      </c>
      <c r="M65" s="3">
        <v>1573.3213481518917</v>
      </c>
      <c r="N65" s="3">
        <v>1699.364797176067</v>
      </c>
      <c r="O65" s="3">
        <v>1750.4878226899248</v>
      </c>
    </row>
    <row r="66" spans="4:16" x14ac:dyDescent="0.25">
      <c r="E66" s="12" t="s">
        <v>24</v>
      </c>
      <c r="G66" s="3" cm="1">
        <f t="array" ref="G66:I66">H.Revenues*P.H.Accrued.Liabs</f>
        <v>763.82999999999993</v>
      </c>
      <c r="H66" s="3">
        <v>787.43999999999994</v>
      </c>
      <c r="I66" s="3">
        <v>808.5</v>
      </c>
      <c r="J66" s="3">
        <f>+I66</f>
        <v>808.5</v>
      </c>
      <c r="K66" s="3" cm="1">
        <f t="array" ref="K66:O66">F.Revenues*p.f.accrueds</f>
        <v>832.09401593512996</v>
      </c>
      <c r="L66" s="3">
        <v>855.6784657450936</v>
      </c>
      <c r="M66" s="3">
        <v>880.60222172464785</v>
      </c>
      <c r="N66" s="3">
        <v>906.23239216439833</v>
      </c>
      <c r="O66" s="3">
        <v>932.94909466972581</v>
      </c>
    </row>
    <row r="67" spans="4:16" x14ac:dyDescent="0.25">
      <c r="E67" s="12" t="s">
        <v>62</v>
      </c>
      <c r="G67" s="3" cm="1">
        <f t="array" ref="G67:I67">D.H.STDebt</f>
        <v>250</v>
      </c>
      <c r="H67" s="3">
        <v>2250</v>
      </c>
      <c r="I67" s="3">
        <v>900</v>
      </c>
      <c r="J67" s="3">
        <f ca="1">LBO.STDebt</f>
        <v>2185.8906380206827</v>
      </c>
      <c r="K67" s="3" cm="1">
        <f t="array" aca="1" ref="K67:O67" ca="1">+d.f.Stdebt</f>
        <v>2368.6584002273376</v>
      </c>
      <c r="L67" s="3">
        <f ca="1"/>
        <v>2980.125383273964</v>
      </c>
      <c r="M67" s="3">
        <f ca="1"/>
        <v>3315.3948593284913</v>
      </c>
      <c r="N67" s="3">
        <f ca="1"/>
        <v>3845.6005452056852</v>
      </c>
      <c r="O67" s="3">
        <f ca="1"/>
        <v>1500</v>
      </c>
    </row>
    <row r="68" spans="4:16" x14ac:dyDescent="0.25">
      <c r="E68" s="15" t="s">
        <v>63</v>
      </c>
      <c r="G68" s="6">
        <f t="shared" ref="G68:O68" si="11">SUM(G65:G67)</f>
        <v>2300.2025292182607</v>
      </c>
      <c r="H68" s="6">
        <f t="shared" si="11"/>
        <v>4332.9446864647707</v>
      </c>
      <c r="I68" s="6">
        <f t="shared" si="11"/>
        <v>3092.7245655554048</v>
      </c>
      <c r="J68" s="6">
        <f ca="1">SUM(J65:J67)</f>
        <v>4378.6152035760879</v>
      </c>
      <c r="K68" s="6">
        <f t="shared" ca="1" si="11"/>
        <v>4598.7246363912673</v>
      </c>
      <c r="L68" s="6">
        <f t="shared" ca="1" si="11"/>
        <v>5354.7447938643818</v>
      </c>
      <c r="M68" s="6">
        <f t="shared" ca="1" si="11"/>
        <v>5769.318429205031</v>
      </c>
      <c r="N68" s="6">
        <f t="shared" ca="1" si="11"/>
        <v>6451.197734546151</v>
      </c>
      <c r="O68" s="6">
        <f t="shared" ca="1" si="11"/>
        <v>4183.4369173596506</v>
      </c>
    </row>
    <row r="69" spans="4:16" x14ac:dyDescent="0.25">
      <c r="G69" s="3"/>
      <c r="H69" s="3"/>
      <c r="I69" s="3"/>
      <c r="J69" s="3"/>
    </row>
    <row r="70" spans="4:16" x14ac:dyDescent="0.25">
      <c r="E70" s="15" t="s">
        <v>64</v>
      </c>
      <c r="G70" s="3"/>
      <c r="H70" s="3"/>
      <c r="I70" s="3"/>
      <c r="J70" s="3"/>
    </row>
    <row r="71" spans="4:16" x14ac:dyDescent="0.25">
      <c r="E71" s="12" t="s">
        <v>65</v>
      </c>
      <c r="G71" s="3" cm="1">
        <f t="array" ref="G71:I71">D.H.LTDebt</f>
        <v>7750</v>
      </c>
      <c r="H71" s="3">
        <v>5500</v>
      </c>
      <c r="I71" s="3">
        <v>4600</v>
      </c>
      <c r="J71" s="3">
        <f ca="1">LBO.LTDebt</f>
        <v>33814.109361979317</v>
      </c>
      <c r="K71" s="3" cm="1">
        <f t="array" aca="1" ref="K71:O71" ca="1">d.f.Ltdebt</f>
        <v>31445.45096175198</v>
      </c>
      <c r="L71" s="3">
        <f ca="1"/>
        <v>28465.325578478016</v>
      </c>
      <c r="M71" s="3">
        <f ca="1"/>
        <v>25149.930719149525</v>
      </c>
      <c r="N71" s="3">
        <f ca="1"/>
        <v>21304.330173943839</v>
      </c>
      <c r="O71" s="3">
        <f ca="1"/>
        <v>19804.330173943839</v>
      </c>
    </row>
    <row r="72" spans="4:16" x14ac:dyDescent="0.25">
      <c r="E72" s="12" t="s">
        <v>66</v>
      </c>
      <c r="G72" s="3">
        <v>1000</v>
      </c>
      <c r="H72" s="3">
        <f>+G72</f>
        <v>1000</v>
      </c>
      <c r="I72" s="3">
        <f>+H72</f>
        <v>1000</v>
      </c>
      <c r="J72" s="3">
        <f>+I72</f>
        <v>1000</v>
      </c>
      <c r="K72" s="3">
        <f>+I72</f>
        <v>1000</v>
      </c>
      <c r="L72" s="3">
        <f t="shared" ref="L72:O72" si="12">+K72</f>
        <v>1000</v>
      </c>
      <c r="M72" s="3">
        <f t="shared" si="12"/>
        <v>1000</v>
      </c>
      <c r="N72" s="3">
        <f t="shared" si="12"/>
        <v>1000</v>
      </c>
      <c r="O72" s="3">
        <f t="shared" si="12"/>
        <v>1000</v>
      </c>
    </row>
    <row r="73" spans="4:16" x14ac:dyDescent="0.25">
      <c r="E73" t="s">
        <v>67</v>
      </c>
      <c r="G73" s="6">
        <f t="shared" ref="G73:O73" si="13">SUM(G71:G72)</f>
        <v>8750</v>
      </c>
      <c r="H73" s="6">
        <f t="shared" si="13"/>
        <v>6500</v>
      </c>
      <c r="I73" s="6">
        <f t="shared" si="13"/>
        <v>5600</v>
      </c>
      <c r="J73" s="6">
        <f ca="1">SUM(J71:J72)</f>
        <v>34814.109361979317</v>
      </c>
      <c r="K73" s="6">
        <f t="shared" ca="1" si="13"/>
        <v>32445.45096175198</v>
      </c>
      <c r="L73" s="6">
        <f t="shared" ca="1" si="13"/>
        <v>29465.325578478016</v>
      </c>
      <c r="M73" s="6">
        <f t="shared" ca="1" si="13"/>
        <v>26149.930719149525</v>
      </c>
      <c r="N73" s="6">
        <f t="shared" ca="1" si="13"/>
        <v>22304.330173943839</v>
      </c>
      <c r="O73" s="6">
        <f t="shared" ca="1" si="13"/>
        <v>20804.330173943839</v>
      </c>
    </row>
    <row r="74" spans="4:16" x14ac:dyDescent="0.25">
      <c r="G74" s="3"/>
      <c r="H74" s="3"/>
      <c r="I74" s="3"/>
      <c r="J74" s="3"/>
    </row>
    <row r="75" spans="4:16" x14ac:dyDescent="0.25">
      <c r="D75" t="s">
        <v>68</v>
      </c>
      <c r="G75" s="19" cm="1">
        <f t="array" ref="G75:I75">+G68:I68+G73:I73</f>
        <v>11050.202529218261</v>
      </c>
      <c r="H75" s="19">
        <v>10832.944686464771</v>
      </c>
      <c r="I75" s="19">
        <v>8692.7245655554052</v>
      </c>
      <c r="J75" s="19">
        <f ca="1">+J73+J68</f>
        <v>39192.724565555407</v>
      </c>
      <c r="K75" s="19" cm="1">
        <f t="array" aca="1" ref="K75:O75" ca="1">+K68:O68+K73:O73</f>
        <v>37044.175598143251</v>
      </c>
      <c r="L75" s="19">
        <f ca="1"/>
        <v>34820.070372342394</v>
      </c>
      <c r="M75" s="19">
        <f ca="1"/>
        <v>31919.249148354556</v>
      </c>
      <c r="N75" s="19">
        <f ca="1"/>
        <v>28755.527908489988</v>
      </c>
      <c r="O75" s="19">
        <f ca="1"/>
        <v>24987.767091303489</v>
      </c>
    </row>
    <row r="76" spans="4:16" x14ac:dyDescent="0.25">
      <c r="G76" s="20"/>
      <c r="H76" s="20"/>
      <c r="I76" s="20"/>
      <c r="J76" s="20"/>
    </row>
    <row r="77" spans="4:16" x14ac:dyDescent="0.25">
      <c r="D77" t="s">
        <v>69</v>
      </c>
      <c r="G77" s="20"/>
      <c r="H77" s="20"/>
      <c r="I77" s="20"/>
      <c r="J77" s="20"/>
    </row>
    <row r="78" spans="4:16" x14ac:dyDescent="0.25">
      <c r="E78" t="s">
        <v>70</v>
      </c>
      <c r="G78" s="20">
        <v>1500</v>
      </c>
      <c r="H78" s="20">
        <f t="shared" ref="H78:I79" si="14">+G78</f>
        <v>1500</v>
      </c>
      <c r="I78" s="20">
        <f t="shared" si="14"/>
        <v>1500</v>
      </c>
      <c r="J78" s="20">
        <v>0</v>
      </c>
      <c r="K78" s="3">
        <f t="shared" ref="K78:O78" si="15">+J78</f>
        <v>0</v>
      </c>
      <c r="L78" s="3">
        <f t="shared" si="15"/>
        <v>0</v>
      </c>
      <c r="M78" s="3">
        <f t="shared" si="15"/>
        <v>0</v>
      </c>
      <c r="N78" s="3">
        <f t="shared" si="15"/>
        <v>0</v>
      </c>
      <c r="O78" s="3">
        <f t="shared" si="15"/>
        <v>0</v>
      </c>
      <c r="P78" s="3"/>
    </row>
    <row r="79" spans="4:16" x14ac:dyDescent="0.25">
      <c r="E79" t="s">
        <v>71</v>
      </c>
      <c r="G79" s="20">
        <v>3500</v>
      </c>
      <c r="H79" s="20">
        <f t="shared" si="14"/>
        <v>3500</v>
      </c>
      <c r="I79" s="20">
        <f t="shared" si="14"/>
        <v>3500</v>
      </c>
      <c r="J79" s="20">
        <f>+LBO.Equity</f>
        <v>31605.482400000001</v>
      </c>
      <c r="K79" s="3">
        <f t="shared" ref="K79:O79" si="16">+J79</f>
        <v>31605.482400000001</v>
      </c>
      <c r="L79" s="3">
        <f t="shared" si="16"/>
        <v>31605.482400000001</v>
      </c>
      <c r="M79" s="3">
        <f t="shared" si="16"/>
        <v>31605.482400000001</v>
      </c>
      <c r="N79" s="3">
        <f t="shared" si="16"/>
        <v>31605.482400000001</v>
      </c>
      <c r="O79" s="3">
        <f t="shared" si="16"/>
        <v>31605.482400000001</v>
      </c>
    </row>
    <row r="80" spans="4:16" x14ac:dyDescent="0.25">
      <c r="E80" t="s">
        <v>72</v>
      </c>
      <c r="G80" s="20">
        <f>-Parms!G24</f>
        <v>-500</v>
      </c>
      <c r="H80" s="20">
        <f>+G80-Parms!H24</f>
        <v>-1000</v>
      </c>
      <c r="I80" s="20">
        <f>+H80-Parms!I24</f>
        <v>-1500</v>
      </c>
      <c r="J80" s="20">
        <v>0</v>
      </c>
      <c r="K80" s="3">
        <f>+J80-Parms!J24</f>
        <v>0</v>
      </c>
      <c r="L80" s="3">
        <f>+K80-Parms!K24</f>
        <v>0</v>
      </c>
      <c r="M80" s="3">
        <f>+L80-Parms!L24</f>
        <v>0</v>
      </c>
      <c r="N80" s="3">
        <f>+M80-Parms!M24</f>
        <v>0</v>
      </c>
      <c r="O80" s="3">
        <f>+N80-Parms!N24</f>
        <v>0</v>
      </c>
    </row>
    <row r="81" spans="3:22" x14ac:dyDescent="0.25">
      <c r="E81" t="s">
        <v>73</v>
      </c>
      <c r="G81" s="20">
        <f>+G40+197.436-518.143-0.0003888</f>
        <v>2575.1093605045276</v>
      </c>
      <c r="H81" s="20">
        <f>+G81+H40</f>
        <v>5372.042198351186</v>
      </c>
      <c r="I81" s="20">
        <f>+H81+I40</f>
        <v>8304.2860873165664</v>
      </c>
      <c r="J81" s="20">
        <f>-Goldman.Fee-PNC.Fee</f>
        <v>-4760</v>
      </c>
      <c r="K81" s="3">
        <f t="shared" ref="K81:O81" ca="1" si="17">+J81+K40</f>
        <v>-4061.6245659986362</v>
      </c>
      <c r="L81" s="3">
        <f t="shared" ca="1" si="17"/>
        <v>-3119.5439765376832</v>
      </c>
      <c r="M81" s="3">
        <f t="shared" ca="1" si="17"/>
        <v>-1803.1134224431155</v>
      </c>
      <c r="N81" s="3">
        <f t="shared" ca="1" si="17"/>
        <v>-43.734168435042875</v>
      </c>
      <c r="O81" s="3">
        <f t="shared" ca="1" si="17"/>
        <v>2145.4211486078239</v>
      </c>
    </row>
    <row r="82" spans="3:22" x14ac:dyDescent="0.25">
      <c r="D82" t="s">
        <v>74</v>
      </c>
      <c r="G82" s="19">
        <f t="shared" ref="G82:O82" si="18">SUM(G78:G81)</f>
        <v>7075.109360504528</v>
      </c>
      <c r="H82" s="19">
        <f t="shared" si="18"/>
        <v>9372.042198351186</v>
      </c>
      <c r="I82" s="19">
        <f t="shared" si="18"/>
        <v>11804.286087316566</v>
      </c>
      <c r="J82" s="19">
        <f>SUM(J78:J81)</f>
        <v>26845.482400000001</v>
      </c>
      <c r="K82" s="19">
        <f t="shared" ref="K82" ca="1" si="19">SUM(K78:K81)</f>
        <v>27543.857834001363</v>
      </c>
      <c r="L82" s="19">
        <f t="shared" ca="1" si="18"/>
        <v>28485.938423462318</v>
      </c>
      <c r="M82" s="19">
        <f t="shared" ca="1" si="18"/>
        <v>29802.368977556886</v>
      </c>
      <c r="N82" s="19">
        <f t="shared" ca="1" si="18"/>
        <v>31561.748231564958</v>
      </c>
      <c r="O82" s="19">
        <f t="shared" ca="1" si="18"/>
        <v>33750.903548607821</v>
      </c>
    </row>
    <row r="83" spans="3:22" x14ac:dyDescent="0.25">
      <c r="G83" s="3"/>
      <c r="H83" s="3"/>
      <c r="I83" s="3"/>
      <c r="J83" s="3"/>
    </row>
    <row r="84" spans="3:22" ht="15.75" thickBot="1" x14ac:dyDescent="0.3">
      <c r="D84" t="s">
        <v>75</v>
      </c>
      <c r="G84" s="16" cm="1">
        <f t="array" ref="G84:I84">+_xlfn.ANCHORARRAY(G75)+G82:I82</f>
        <v>18125.311889722791</v>
      </c>
      <c r="H84" s="16">
        <v>20204.986884815957</v>
      </c>
      <c r="I84" s="16">
        <v>20497.01065287197</v>
      </c>
      <c r="J84" s="16">
        <f ca="1">+J75+J82</f>
        <v>66038.206965555408</v>
      </c>
      <c r="K84" s="16" cm="1">
        <f t="array" aca="1" ref="K84:O84" ca="1">+_xlfn.ANCHORARRAY(K75)+K82:O82</f>
        <v>64588.033432144613</v>
      </c>
      <c r="L84" s="16">
        <f ca="1"/>
        <v>63306.008795804708</v>
      </c>
      <c r="M84" s="16">
        <f ca="1"/>
        <v>61721.618125911438</v>
      </c>
      <c r="N84" s="16">
        <f ca="1"/>
        <v>60317.27614005495</v>
      </c>
      <c r="O84" s="16">
        <f ca="1"/>
        <v>58738.67063991131</v>
      </c>
    </row>
    <row r="85" spans="3:22" x14ac:dyDescent="0.25">
      <c r="G85" s="3"/>
      <c r="H85" s="3"/>
      <c r="I85" s="3"/>
      <c r="J85" s="3"/>
    </row>
    <row r="86" spans="3:22" x14ac:dyDescent="0.25">
      <c r="E86" t="s">
        <v>76</v>
      </c>
      <c r="G86" s="3" cm="1">
        <f t="array" ref="G86:I86">H.Total.Assets-H.Capital</f>
        <v>4.7439243644475937E-9</v>
      </c>
      <c r="H86" s="3">
        <v>4.7475623432546854E-9</v>
      </c>
      <c r="I86" s="3">
        <v>4.7512003220617771E-9</v>
      </c>
      <c r="J86" s="3">
        <f ca="1">+J60-J84</f>
        <v>1.9907340174540877E-5</v>
      </c>
      <c r="K86" s="3" cm="1">
        <f t="array" aca="1" ref="K86:O86" ca="1">+_xlfn.ANCHORARRAY(K60)-_xlfn.ANCHORARRAY(K84)</f>
        <v>1.9907340174540877E-5</v>
      </c>
      <c r="L86" s="3">
        <f ca="1"/>
        <v>1.9907347450498492E-5</v>
      </c>
      <c r="M86" s="3">
        <f ca="1"/>
        <v>1.9907347450498492E-5</v>
      </c>
      <c r="N86" s="3">
        <f ca="1"/>
        <v>1.9907340174540877E-5</v>
      </c>
      <c r="O86" s="3">
        <f ca="1"/>
        <v>1.9907354726456106E-5</v>
      </c>
    </row>
    <row r="87" spans="3:22" x14ac:dyDescent="0.25">
      <c r="G87" s="3"/>
      <c r="H87" s="3"/>
      <c r="I87" s="3"/>
      <c r="J87" s="3"/>
    </row>
    <row r="88" spans="3:22" x14ac:dyDescent="0.25">
      <c r="G88" s="3"/>
      <c r="H88" s="3"/>
      <c r="I88" s="3"/>
      <c r="J88" s="3"/>
      <c r="P88" s="3"/>
      <c r="Q88" s="3"/>
      <c r="S88" s="3"/>
      <c r="T88" s="3"/>
      <c r="U88" s="3"/>
      <c r="V88" s="3"/>
    </row>
    <row r="89" spans="3:22" x14ac:dyDescent="0.25">
      <c r="C89" t="s">
        <v>77</v>
      </c>
      <c r="G89" s="5" cm="1">
        <f t="array" ref="G89:I89">dates.hist</f>
        <v>2022</v>
      </c>
      <c r="H89" s="5">
        <v>2023</v>
      </c>
      <c r="I89" s="5">
        <v>2024</v>
      </c>
      <c r="J89" s="123" t="s">
        <v>204</v>
      </c>
      <c r="K89" s="28" cm="1">
        <f t="array" ref="K89:O89">dates.fcst</f>
        <v>2025</v>
      </c>
      <c r="L89" s="28">
        <v>2026</v>
      </c>
      <c r="M89" s="28">
        <v>2027</v>
      </c>
      <c r="N89" s="28">
        <v>2028</v>
      </c>
      <c r="O89" s="28">
        <v>2029</v>
      </c>
    </row>
    <row r="90" spans="3:22" x14ac:dyDescent="0.25">
      <c r="D90" t="s">
        <v>78</v>
      </c>
      <c r="G90" s="3"/>
      <c r="H90" s="3"/>
      <c r="I90" s="3"/>
      <c r="J90" s="3"/>
    </row>
    <row r="91" spans="3:22" x14ac:dyDescent="0.25">
      <c r="E91" t="s">
        <v>41</v>
      </c>
      <c r="G91" s="3" cm="1">
        <f t="array" ref="G91:I91">H.Net.Income</f>
        <v>4395.8167493045275</v>
      </c>
      <c r="H91" s="3">
        <v>4296.932837846658</v>
      </c>
      <c r="I91" s="3">
        <v>4432.2438889653813</v>
      </c>
      <c r="J91" s="3"/>
      <c r="K91" s="3" cm="1">
        <f t="array" aca="1" ref="K91:O91" ca="1">F.Net.Income</f>
        <v>698.37543400136383</v>
      </c>
      <c r="L91" s="3">
        <f ca="1"/>
        <v>942.08058946095298</v>
      </c>
      <c r="M91" s="3">
        <f ca="1"/>
        <v>1316.4305540945677</v>
      </c>
      <c r="N91" s="3">
        <f ca="1"/>
        <v>1759.3792540080726</v>
      </c>
      <c r="O91" s="3">
        <f ca="1"/>
        <v>2189.155317042867</v>
      </c>
    </row>
    <row r="92" spans="3:22" x14ac:dyDescent="0.25">
      <c r="E92" t="s">
        <v>79</v>
      </c>
      <c r="G92" s="3"/>
      <c r="H92" s="3"/>
      <c r="I92" s="3"/>
      <c r="J92" s="3"/>
    </row>
    <row r="93" spans="3:22" x14ac:dyDescent="0.25">
      <c r="F93" t="s">
        <v>13</v>
      </c>
      <c r="G93" s="3" cm="1">
        <f t="array" ref="G93:I93">P.H.Depreciation.Expense</f>
        <v>1000</v>
      </c>
      <c r="H93" s="3">
        <v>1000</v>
      </c>
      <c r="I93" s="3">
        <v>1000</v>
      </c>
      <c r="J93" s="3"/>
      <c r="K93" s="3" cm="1">
        <f t="array" ref="K93:O93">p.f.depreciation.expense</f>
        <v>1000</v>
      </c>
      <c r="L93" s="3">
        <v>1000</v>
      </c>
      <c r="M93" s="3">
        <v>1000</v>
      </c>
      <c r="N93" s="3">
        <v>1000</v>
      </c>
      <c r="O93" s="3">
        <v>1000</v>
      </c>
    </row>
    <row r="94" spans="3:22" x14ac:dyDescent="0.25">
      <c r="F94" t="s">
        <v>14</v>
      </c>
      <c r="G94" s="3" cm="1">
        <f t="array" ref="G94:I94">P.H.Amortization.Expense</f>
        <v>250</v>
      </c>
      <c r="H94" s="3">
        <v>250</v>
      </c>
      <c r="I94" s="3">
        <v>250</v>
      </c>
      <c r="J94" s="3"/>
      <c r="K94" s="3" cm="1">
        <f t="array" ref="K94:O94">p.f.amortization.expense</f>
        <v>2476.6996626755363</v>
      </c>
      <c r="L94" s="3">
        <v>2476.6996626755363</v>
      </c>
      <c r="M94" s="3">
        <v>2476.6996626755363</v>
      </c>
      <c r="N94" s="3">
        <v>2476.6996626755363</v>
      </c>
      <c r="O94" s="3">
        <v>2476.6996626755363</v>
      </c>
    </row>
    <row r="95" spans="3:22" x14ac:dyDescent="0.25">
      <c r="E95" t="s">
        <v>80</v>
      </c>
      <c r="G95" s="3"/>
      <c r="H95" s="3"/>
      <c r="I95" s="3"/>
      <c r="J95" s="3"/>
    </row>
    <row r="96" spans="3:22" x14ac:dyDescent="0.25">
      <c r="F96" t="str" cm="1">
        <f t="array" ref="F96:F98">E47:E49</f>
        <v>Accounts Receivable</v>
      </c>
      <c r="G96" s="20"/>
      <c r="H96" s="20" cm="1">
        <f t="array" ref="H96:H98">+G47:G49-H47:H49</f>
        <v>-129.3698630136987</v>
      </c>
      <c r="I96" s="20" cm="1">
        <f t="array" ref="I96:I98">+H47:H49-I47:I49</f>
        <v>-115.39726027397228</v>
      </c>
      <c r="J96" s="20"/>
      <c r="K96" s="38">
        <f>-K47+I47</f>
        <v>22.698363083329241</v>
      </c>
      <c r="L96" s="38">
        <f t="shared" ref="L96:O96" si="20">-L47+K47</f>
        <v>-124.92219990665672</v>
      </c>
      <c r="M96" s="38">
        <f t="shared" si="20"/>
        <v>28.824346724671159</v>
      </c>
      <c r="N96" s="38">
        <f t="shared" si="20"/>
        <v>-131.07667074210258</v>
      </c>
      <c r="O96" s="38">
        <f t="shared" si="20"/>
        <v>33.768296716082659</v>
      </c>
    </row>
    <row r="97" spans="4:15" x14ac:dyDescent="0.25">
      <c r="F97" t="str">
        <v>Inventory</v>
      </c>
      <c r="G97" s="20"/>
      <c r="H97" s="20">
        <v>-8.3494009110945626</v>
      </c>
      <c r="I97" s="20">
        <v>-81.1153180257229</v>
      </c>
      <c r="J97" s="20"/>
      <c r="K97" s="38">
        <f>-K48+I48</f>
        <v>67.31484259739841</v>
      </c>
      <c r="L97" s="38">
        <f t="shared" ref="L97:O98" si="21">-L48+K48</f>
        <v>-33.311836010518618</v>
      </c>
      <c r="M97" s="38">
        <f t="shared" si="21"/>
        <v>40.95217830018214</v>
      </c>
      <c r="N97" s="38">
        <f t="shared" si="21"/>
        <v>-29.435216696146426</v>
      </c>
      <c r="O97" s="38">
        <f t="shared" si="21"/>
        <v>53.064895666457232</v>
      </c>
    </row>
    <row r="98" spans="4:15" x14ac:dyDescent="0.25">
      <c r="F98" t="str">
        <v>Prepaid Expenses</v>
      </c>
      <c r="G98" s="20"/>
      <c r="H98" s="20">
        <v>-23.610000000000014</v>
      </c>
      <c r="I98" s="20">
        <v>-21.060000000000059</v>
      </c>
      <c r="J98" s="20"/>
      <c r="K98" s="38">
        <f>-K49+I49</f>
        <v>-23.59401593512996</v>
      </c>
      <c r="L98" s="38">
        <f t="shared" si="21"/>
        <v>-23.584449809963644</v>
      </c>
      <c r="M98" s="38">
        <f t="shared" si="21"/>
        <v>-24.923755979554244</v>
      </c>
      <c r="N98" s="38">
        <f t="shared" si="21"/>
        <v>-25.630170439750486</v>
      </c>
      <c r="O98" s="38">
        <f t="shared" si="21"/>
        <v>-26.716702505327476</v>
      </c>
    </row>
    <row r="99" spans="4:15" x14ac:dyDescent="0.25">
      <c r="F99" t="str" cm="1">
        <f t="array" ref="F99:F100">+E65:E66</f>
        <v>Accounts Payable</v>
      </c>
      <c r="G99" s="20"/>
      <c r="H99" s="20" cm="1">
        <f t="array" ref="H99:H100">+H65:H66-G65:G66</f>
        <v>9.1321572465096779</v>
      </c>
      <c r="I99" s="20" cm="1">
        <f t="array" ref="I99:I100">+I65:I66-H65:H66</f>
        <v>88.719879090634549</v>
      </c>
      <c r="J99" s="20"/>
      <c r="K99" s="39">
        <f>+K65-I65</f>
        <v>13.747654673395346</v>
      </c>
      <c r="L99" s="39">
        <f t="shared" ref="L99:O99" si="22">+L65-K65</f>
        <v>120.96872461652356</v>
      </c>
      <c r="M99" s="39">
        <f t="shared" si="22"/>
        <v>54.380403306568041</v>
      </c>
      <c r="N99" s="39">
        <f t="shared" si="22"/>
        <v>126.04344902417529</v>
      </c>
      <c r="O99" s="39">
        <f t="shared" si="22"/>
        <v>51.123025513857783</v>
      </c>
    </row>
    <row r="100" spans="4:15" x14ac:dyDescent="0.25">
      <c r="F100" t="str">
        <v>Accrued Liabilities</v>
      </c>
      <c r="G100" s="20"/>
      <c r="H100" s="20">
        <v>23.610000000000014</v>
      </c>
      <c r="I100" s="20">
        <v>21.060000000000059</v>
      </c>
      <c r="J100" s="20"/>
      <c r="K100" s="39">
        <f>+K66-I66</f>
        <v>23.59401593512996</v>
      </c>
      <c r="L100" s="39">
        <f t="shared" ref="L100:O100" si="23">+L66-K66</f>
        <v>23.584449809963644</v>
      </c>
      <c r="M100" s="39">
        <f t="shared" si="23"/>
        <v>24.923755979554244</v>
      </c>
      <c r="N100" s="39">
        <f t="shared" si="23"/>
        <v>25.630170439750486</v>
      </c>
      <c r="O100" s="39">
        <f t="shared" si="23"/>
        <v>26.716702505327476</v>
      </c>
    </row>
    <row r="101" spans="4:15" x14ac:dyDescent="0.25">
      <c r="D101" t="s">
        <v>81</v>
      </c>
      <c r="G101" s="3"/>
      <c r="H101" s="6">
        <f>SUM(H91:H100)</f>
        <v>5418.3457311683742</v>
      </c>
      <c r="I101" s="6">
        <f>SUM(I91:I100)</f>
        <v>5574.4511897563198</v>
      </c>
      <c r="J101" s="6"/>
      <c r="K101" s="40">
        <f t="shared" ref="K101:O101" ca="1" si="24">SUM(K91:K100)</f>
        <v>4278.8359570310231</v>
      </c>
      <c r="L101" s="40">
        <f t="shared" ca="1" si="24"/>
        <v>4381.5149408358375</v>
      </c>
      <c r="M101" s="40">
        <f t="shared" ca="1" si="24"/>
        <v>4917.2871451015253</v>
      </c>
      <c r="N101" s="40">
        <f t="shared" ca="1" si="24"/>
        <v>5201.6104782695356</v>
      </c>
      <c r="O101" s="40">
        <f t="shared" ca="1" si="24"/>
        <v>5803.8111976148011</v>
      </c>
    </row>
    <row r="102" spans="4:15" x14ac:dyDescent="0.25">
      <c r="G102" s="3"/>
      <c r="H102" s="3"/>
      <c r="I102" s="3"/>
      <c r="J102" s="3"/>
    </row>
    <row r="103" spans="4:15" x14ac:dyDescent="0.25">
      <c r="D103" t="s">
        <v>82</v>
      </c>
      <c r="G103" s="3"/>
      <c r="H103" s="3"/>
      <c r="I103" s="3"/>
      <c r="J103" s="3"/>
    </row>
    <row r="104" spans="4:15" x14ac:dyDescent="0.25">
      <c r="E104" t="s">
        <v>83</v>
      </c>
      <c r="G104" s="3" cm="1">
        <f t="array" ref="G104:I104">-P.H.CAPEX</f>
        <v>0</v>
      </c>
      <c r="H104" s="3">
        <v>-2500</v>
      </c>
      <c r="I104" s="3">
        <v>-2500</v>
      </c>
      <c r="J104" s="3"/>
      <c r="K104" s="3" cm="1">
        <f t="array" ref="K104:O104">-p.f.capex</f>
        <v>-1750</v>
      </c>
      <c r="L104" s="3">
        <v>-1750</v>
      </c>
      <c r="M104" s="3">
        <v>-1500</v>
      </c>
      <c r="N104" s="3">
        <v>-1500</v>
      </c>
      <c r="O104" s="3">
        <v>-1500</v>
      </c>
    </row>
    <row r="105" spans="4:15" x14ac:dyDescent="0.25">
      <c r="E105" t="s">
        <v>84</v>
      </c>
      <c r="G105" s="3">
        <v>0</v>
      </c>
      <c r="H105" s="3">
        <f>+G105</f>
        <v>0</v>
      </c>
      <c r="I105" s="3">
        <f t="shared" ref="I105" si="25">+H105</f>
        <v>0</v>
      </c>
      <c r="J105" s="3"/>
      <c r="K105" s="3">
        <f t="shared" ref="K105" si="26">+I105</f>
        <v>0</v>
      </c>
      <c r="L105" s="3">
        <f t="shared" ref="L105" si="27">+K105</f>
        <v>0</v>
      </c>
      <c r="M105" s="3">
        <f t="shared" ref="M105" si="28">+L105</f>
        <v>0</v>
      </c>
      <c r="N105" s="3">
        <f t="shared" ref="N105" si="29">+M105</f>
        <v>0</v>
      </c>
      <c r="O105" s="3">
        <f t="shared" ref="O105" si="30">+N105</f>
        <v>0</v>
      </c>
    </row>
    <row r="106" spans="4:15" x14ac:dyDescent="0.25">
      <c r="D106" t="s">
        <v>85</v>
      </c>
      <c r="G106" s="3"/>
      <c r="H106" s="6">
        <f t="shared" ref="H106:I106" si="31">SUM(H104:H105)</f>
        <v>-2500</v>
      </c>
      <c r="I106" s="6">
        <f t="shared" si="31"/>
        <v>-2500</v>
      </c>
      <c r="J106" s="6"/>
      <c r="K106" s="40">
        <f t="shared" ref="K106:O106" si="32">SUM(K104:K105)</f>
        <v>-1750</v>
      </c>
      <c r="L106" s="40">
        <f t="shared" si="32"/>
        <v>-1750</v>
      </c>
      <c r="M106" s="40">
        <f t="shared" si="32"/>
        <v>-1500</v>
      </c>
      <c r="N106" s="40">
        <f t="shared" si="32"/>
        <v>-1500</v>
      </c>
      <c r="O106" s="40">
        <f t="shared" si="32"/>
        <v>-1500</v>
      </c>
    </row>
    <row r="107" spans="4:15" x14ac:dyDescent="0.25">
      <c r="G107" s="3"/>
      <c r="H107" s="3"/>
      <c r="I107" s="3"/>
      <c r="J107" s="3"/>
    </row>
    <row r="108" spans="4:15" x14ac:dyDescent="0.25">
      <c r="D108" t="s">
        <v>86</v>
      </c>
      <c r="G108" s="3"/>
      <c r="H108" s="3"/>
      <c r="I108" s="3"/>
      <c r="J108" s="3"/>
    </row>
    <row r="109" spans="4:15" x14ac:dyDescent="0.25">
      <c r="E109" t="s">
        <v>87</v>
      </c>
      <c r="G109" s="3"/>
      <c r="H109" s="3">
        <f>+DebtSchedule!H9-DebtSchedule!G9</f>
        <v>-250</v>
      </c>
      <c r="I109" s="3">
        <f>+DebtSchedule!I9-DebtSchedule!H9</f>
        <v>-2250</v>
      </c>
      <c r="J109" s="3"/>
      <c r="K109" s="3">
        <f ca="1">+DebtSchedule!K9-DebtSchedule!J9</f>
        <v>-2185.8906380206827</v>
      </c>
      <c r="L109" s="3">
        <f ca="1">+DebtSchedule!L9-DebtSchedule!K9</f>
        <v>-2368.6584002273376</v>
      </c>
      <c r="M109" s="3">
        <f ca="1">+DebtSchedule!M9-DebtSchedule!L9</f>
        <v>-2980.125383273964</v>
      </c>
      <c r="N109" s="3">
        <f ca="1">+DebtSchedule!N9-DebtSchedule!M9</f>
        <v>-3315.3948593284913</v>
      </c>
      <c r="O109" s="3">
        <f ca="1">+DebtSchedule!O9-DebtSchedule!N9</f>
        <v>-3845.6005452056852</v>
      </c>
    </row>
    <row r="110" spans="4:15" x14ac:dyDescent="0.25">
      <c r="E110" t="s">
        <v>88</v>
      </c>
      <c r="G110" s="3"/>
      <c r="H110" s="3">
        <v>0</v>
      </c>
      <c r="I110" s="3">
        <v>0</v>
      </c>
      <c r="J110" s="3"/>
      <c r="K110" s="3">
        <f>+I110</f>
        <v>0</v>
      </c>
      <c r="L110" s="3">
        <f t="shared" ref="L110:O110" si="33">+K110</f>
        <v>0</v>
      </c>
      <c r="M110" s="3">
        <f t="shared" si="33"/>
        <v>0</v>
      </c>
      <c r="N110" s="3">
        <f t="shared" si="33"/>
        <v>0</v>
      </c>
      <c r="O110" s="3">
        <f t="shared" si="33"/>
        <v>0</v>
      </c>
    </row>
    <row r="111" spans="4:15" x14ac:dyDescent="0.25">
      <c r="E111" t="s">
        <v>89</v>
      </c>
      <c r="G111" s="3" cm="1">
        <f t="array" ref="G111:I111">-P.H.Dividends</f>
        <v>-1500</v>
      </c>
      <c r="H111" s="3">
        <v>-1500</v>
      </c>
      <c r="I111" s="3">
        <v>-1500</v>
      </c>
      <c r="J111" s="3"/>
      <c r="K111" s="3" cm="1">
        <f t="array" ref="K111:O111">-p.f.dividends</f>
        <v>0</v>
      </c>
      <c r="L111" s="3">
        <v>0</v>
      </c>
      <c r="M111" s="3">
        <v>0</v>
      </c>
      <c r="N111" s="3">
        <v>0</v>
      </c>
      <c r="O111" s="3">
        <v>0</v>
      </c>
    </row>
    <row r="112" spans="4:15" x14ac:dyDescent="0.25">
      <c r="E112" t="s">
        <v>17</v>
      </c>
      <c r="G112" s="3" cm="1">
        <f t="array" ref="G112:I112">-P.H.Buybacks</f>
        <v>-500</v>
      </c>
      <c r="H112" s="3">
        <v>-500</v>
      </c>
      <c r="I112" s="3">
        <v>-500</v>
      </c>
      <c r="J112" s="3"/>
      <c r="K112" s="3" cm="1">
        <f t="array" ref="K112:O112">-p.f.buybacks</f>
        <v>0</v>
      </c>
      <c r="L112" s="3">
        <v>0</v>
      </c>
      <c r="M112" s="3">
        <v>0</v>
      </c>
      <c r="N112" s="3">
        <v>0</v>
      </c>
      <c r="O112" s="3">
        <v>0</v>
      </c>
    </row>
    <row r="113" spans="4:15" x14ac:dyDescent="0.25">
      <c r="D113" t="s">
        <v>90</v>
      </c>
      <c r="G113" s="3"/>
      <c r="H113" s="6">
        <f t="shared" ref="H113:O113" si="34">SUM(H109:H112)</f>
        <v>-2250</v>
      </c>
      <c r="I113" s="6">
        <f t="shared" si="34"/>
        <v>-4250</v>
      </c>
      <c r="J113" s="6"/>
      <c r="K113" s="40">
        <f t="shared" ca="1" si="34"/>
        <v>-2185.8906380206827</v>
      </c>
      <c r="L113" s="40">
        <f t="shared" ca="1" si="34"/>
        <v>-2368.6584002273376</v>
      </c>
      <c r="M113" s="40">
        <f t="shared" ca="1" si="34"/>
        <v>-2980.125383273964</v>
      </c>
      <c r="N113" s="40">
        <f t="shared" ca="1" si="34"/>
        <v>-3315.3948593284913</v>
      </c>
      <c r="O113" s="40">
        <f t="shared" ca="1" si="34"/>
        <v>-3845.6005452056852</v>
      </c>
    </row>
    <row r="114" spans="4:15" x14ac:dyDescent="0.25">
      <c r="G114" s="3"/>
      <c r="H114" s="3"/>
      <c r="I114" s="3"/>
      <c r="J114" s="3"/>
    </row>
    <row r="115" spans="4:15" x14ac:dyDescent="0.25">
      <c r="D115" t="s">
        <v>91</v>
      </c>
      <c r="G115" s="3"/>
      <c r="H115" s="6" cm="1">
        <f t="array" ref="H115:I115">H.Cash.Financing+H.Cash.From.Ops+H.Cash.Investment</f>
        <v>668.34573116837419</v>
      </c>
      <c r="I115" s="6">
        <v>-1175.5488102436802</v>
      </c>
      <c r="J115" s="6"/>
      <c r="K115" s="6" cm="1">
        <f t="array" aca="1" ref="K115:O115" ca="1">+F.Cash.Ops+F.Cash.Investments+F.Cash.Financing</f>
        <v>342.94531901034043</v>
      </c>
      <c r="L115" s="6">
        <f ca="1"/>
        <v>262.85654060849993</v>
      </c>
      <c r="M115" s="6">
        <f ca="1"/>
        <v>437.16176182756135</v>
      </c>
      <c r="N115" s="6">
        <f ca="1"/>
        <v>386.21561894104434</v>
      </c>
      <c r="O115" s="6">
        <f ca="1"/>
        <v>458.21065240911594</v>
      </c>
    </row>
    <row r="116" spans="4:15" x14ac:dyDescent="0.25">
      <c r="D116" t="s">
        <v>92</v>
      </c>
      <c r="G116" s="3"/>
      <c r="H116" s="3">
        <f>+G117</f>
        <v>4500</v>
      </c>
      <c r="I116" s="3">
        <f>+H117</f>
        <v>5168.3457311683742</v>
      </c>
      <c r="J116" s="3"/>
      <c r="K116" s="3">
        <f>+J117</f>
        <v>5000</v>
      </c>
      <c r="L116" s="3">
        <f t="shared" ref="L116:O116" ca="1" si="35">+K117</f>
        <v>5342.9453190103404</v>
      </c>
      <c r="M116" s="3">
        <f t="shared" ca="1" si="35"/>
        <v>5605.8018596188404</v>
      </c>
      <c r="N116" s="3">
        <f t="shared" ca="1" si="35"/>
        <v>6042.9636214464017</v>
      </c>
      <c r="O116" s="3">
        <f t="shared" ca="1" si="35"/>
        <v>6429.1792403874424</v>
      </c>
    </row>
    <row r="117" spans="4:15" ht="15.75" thickBot="1" x14ac:dyDescent="0.3">
      <c r="D117" t="s">
        <v>93</v>
      </c>
      <c r="G117" s="17">
        <f>starting.cash</f>
        <v>4500</v>
      </c>
      <c r="H117" s="18">
        <f>+H116+H115</f>
        <v>5168.3457311683742</v>
      </c>
      <c r="I117" s="18">
        <f>+I116+I115</f>
        <v>3992.7969209246939</v>
      </c>
      <c r="J117" s="18">
        <f>Min.Cash</f>
        <v>5000</v>
      </c>
      <c r="K117" s="41">
        <f t="shared" ref="K117:O117" ca="1" si="36">+K116+K115</f>
        <v>5342.9453190103404</v>
      </c>
      <c r="L117" s="41">
        <f t="shared" ca="1" si="36"/>
        <v>5605.8018596188404</v>
      </c>
      <c r="M117" s="41">
        <f t="shared" ca="1" si="36"/>
        <v>6042.9636214464017</v>
      </c>
      <c r="N117" s="41">
        <f t="shared" ca="1" si="36"/>
        <v>6429.179240387446</v>
      </c>
      <c r="O117" s="41">
        <f t="shared" ca="1" si="36"/>
        <v>6887.3898927965583</v>
      </c>
    </row>
    <row r="118" spans="4:15" ht="15.75" thickTop="1" x14ac:dyDescent="0.25">
      <c r="G118" s="3"/>
      <c r="H118" s="3"/>
      <c r="I118" s="3"/>
      <c r="J118" s="3"/>
    </row>
    <row r="119" spans="4:15" x14ac:dyDescent="0.25">
      <c r="G119" s="3"/>
      <c r="H119" s="3"/>
      <c r="I119" s="3"/>
      <c r="J119" s="3"/>
    </row>
    <row r="120" spans="4:15" x14ac:dyDescent="0.25">
      <c r="G120" s="3"/>
      <c r="H120" s="3"/>
      <c r="I120" s="3"/>
      <c r="J120" s="3"/>
    </row>
    <row r="121" spans="4:15" x14ac:dyDescent="0.25">
      <c r="G121" s="3"/>
      <c r="H121" s="3"/>
      <c r="I121" s="3"/>
      <c r="J121" s="3"/>
    </row>
    <row r="122" spans="4:15" x14ac:dyDescent="0.25">
      <c r="G122" s="3"/>
      <c r="H122" s="3"/>
      <c r="I122" s="3"/>
      <c r="J122" s="3"/>
    </row>
    <row r="123" spans="4:15" x14ac:dyDescent="0.25">
      <c r="G123" s="3"/>
      <c r="H123" s="3"/>
      <c r="I123" s="3"/>
      <c r="J123" s="3"/>
    </row>
    <row r="124" spans="4:15" x14ac:dyDescent="0.25">
      <c r="G124" s="3"/>
      <c r="H124" s="3"/>
      <c r="I124" s="3"/>
      <c r="J124" s="3"/>
    </row>
    <row r="125" spans="4:15" x14ac:dyDescent="0.25">
      <c r="G125" s="3"/>
      <c r="H125" s="3"/>
      <c r="I125" s="3"/>
      <c r="J125" s="3"/>
    </row>
    <row r="126" spans="4:15" x14ac:dyDescent="0.25">
      <c r="G126" s="3"/>
      <c r="H126" s="3"/>
      <c r="I126" s="3"/>
      <c r="J126" s="3"/>
    </row>
    <row r="127" spans="4:15" x14ac:dyDescent="0.25">
      <c r="G127" s="3"/>
      <c r="H127" s="3"/>
      <c r="I127" s="3"/>
      <c r="J127" s="3"/>
    </row>
    <row r="128" spans="4:15" x14ac:dyDescent="0.25">
      <c r="G128" s="3"/>
      <c r="H128" s="3"/>
      <c r="I128" s="3"/>
      <c r="J128" s="3"/>
    </row>
    <row r="129" spans="7:10" x14ac:dyDescent="0.25">
      <c r="G129" s="3"/>
      <c r="H129" s="3"/>
      <c r="I129" s="3"/>
      <c r="J129" s="3"/>
    </row>
    <row r="130" spans="7:10" x14ac:dyDescent="0.25">
      <c r="G130" s="3"/>
      <c r="H130" s="3"/>
      <c r="I130" s="3"/>
      <c r="J130" s="3"/>
    </row>
    <row r="131" spans="7:10" x14ac:dyDescent="0.25">
      <c r="G131" s="3"/>
      <c r="H131" s="3"/>
      <c r="I131" s="3"/>
      <c r="J131" s="3"/>
    </row>
    <row r="132" spans="7:10" x14ac:dyDescent="0.25">
      <c r="G132" s="3"/>
      <c r="H132" s="3"/>
      <c r="I132" s="3"/>
      <c r="J132" s="3"/>
    </row>
    <row r="133" spans="7:10" x14ac:dyDescent="0.25">
      <c r="G133" s="3"/>
      <c r="H133" s="3"/>
      <c r="I133" s="3"/>
      <c r="J133" s="3"/>
    </row>
    <row r="134" spans="7:10" x14ac:dyDescent="0.25">
      <c r="G134" s="3"/>
      <c r="H134" s="3"/>
      <c r="I134" s="3"/>
      <c r="J134" s="3"/>
    </row>
    <row r="135" spans="7:10" x14ac:dyDescent="0.25">
      <c r="G135" s="3"/>
      <c r="H135" s="3"/>
      <c r="I135" s="3"/>
      <c r="J135" s="3"/>
    </row>
    <row r="136" spans="7:10" x14ac:dyDescent="0.25">
      <c r="G136" s="3"/>
      <c r="H136" s="3"/>
      <c r="I136" s="3"/>
      <c r="J136" s="3"/>
    </row>
    <row r="137" spans="7:10" x14ac:dyDescent="0.25">
      <c r="G137" s="3"/>
      <c r="H137" s="3"/>
      <c r="I137" s="3"/>
      <c r="J137" s="3"/>
    </row>
    <row r="138" spans="7:10" x14ac:dyDescent="0.25">
      <c r="G138" s="3"/>
      <c r="H138" s="3"/>
      <c r="I138" s="3"/>
      <c r="J138" s="3"/>
    </row>
    <row r="139" spans="7:10" x14ac:dyDescent="0.25">
      <c r="G139" s="3"/>
      <c r="H139" s="3"/>
      <c r="I139" s="3"/>
      <c r="J139" s="3"/>
    </row>
    <row r="140" spans="7:10" x14ac:dyDescent="0.25">
      <c r="G140" s="3"/>
      <c r="H140" s="3"/>
      <c r="I140" s="3"/>
      <c r="J140" s="3"/>
    </row>
    <row r="141" spans="7:10" x14ac:dyDescent="0.25">
      <c r="G141" s="3"/>
      <c r="H141" s="3"/>
      <c r="I141" s="3"/>
      <c r="J141" s="3"/>
    </row>
    <row r="142" spans="7:10" x14ac:dyDescent="0.25">
      <c r="G142" s="3"/>
      <c r="H142" s="3"/>
      <c r="I142" s="3"/>
      <c r="J142" s="3"/>
    </row>
    <row r="143" spans="7:10" x14ac:dyDescent="0.25">
      <c r="G143" s="3"/>
      <c r="H143" s="3"/>
      <c r="I143" s="3"/>
      <c r="J143" s="3"/>
    </row>
    <row r="144" spans="7:10" x14ac:dyDescent="0.25">
      <c r="G144" s="3"/>
      <c r="H144" s="3"/>
      <c r="I144" s="3"/>
      <c r="J144" s="3"/>
    </row>
    <row r="145" spans="7:10" x14ac:dyDescent="0.25">
      <c r="G145" s="3"/>
      <c r="H145" s="3"/>
      <c r="I145" s="3"/>
      <c r="J145" s="3"/>
    </row>
    <row r="146" spans="7:10" x14ac:dyDescent="0.25">
      <c r="G146" s="3"/>
      <c r="H146" s="3"/>
      <c r="I146" s="3"/>
      <c r="J146" s="3"/>
    </row>
    <row r="147" spans="7:10" x14ac:dyDescent="0.25">
      <c r="G147" s="3"/>
      <c r="H147" s="3"/>
      <c r="I147" s="3"/>
      <c r="J147" s="3"/>
    </row>
    <row r="148" spans="7:10" x14ac:dyDescent="0.25">
      <c r="G148" s="3"/>
      <c r="H148" s="3"/>
      <c r="I148" s="3"/>
      <c r="J148" s="3"/>
    </row>
    <row r="149" spans="7:10" x14ac:dyDescent="0.25">
      <c r="G149" s="3"/>
      <c r="H149" s="3"/>
      <c r="I149" s="3"/>
      <c r="J149" s="3"/>
    </row>
    <row r="150" spans="7:10" x14ac:dyDescent="0.25">
      <c r="G150" s="3"/>
      <c r="H150" s="3"/>
      <c r="I150" s="3"/>
      <c r="J150" s="3"/>
    </row>
    <row r="151" spans="7:10" x14ac:dyDescent="0.25">
      <c r="G151" s="3"/>
      <c r="H151" s="3"/>
      <c r="I151" s="3"/>
      <c r="J151" s="3"/>
    </row>
    <row r="152" spans="7:10" x14ac:dyDescent="0.25">
      <c r="G152" s="3"/>
      <c r="H152" s="3"/>
      <c r="I152" s="3"/>
      <c r="J152" s="3"/>
    </row>
    <row r="153" spans="7:10" x14ac:dyDescent="0.25">
      <c r="G153" s="3"/>
      <c r="H153" s="3"/>
      <c r="I153" s="3"/>
      <c r="J153" s="3"/>
    </row>
    <row r="154" spans="7:10" x14ac:dyDescent="0.25">
      <c r="G154" s="3"/>
      <c r="H154" s="3"/>
      <c r="I154" s="3"/>
      <c r="J154" s="3"/>
    </row>
    <row r="155" spans="7:10" x14ac:dyDescent="0.25">
      <c r="G155" s="3"/>
      <c r="H155" s="3"/>
      <c r="I155" s="3"/>
      <c r="J155" s="3"/>
    </row>
    <row r="156" spans="7:10" x14ac:dyDescent="0.25">
      <c r="G156" s="3"/>
      <c r="H156" s="3"/>
      <c r="I156" s="3"/>
      <c r="J156" s="3"/>
    </row>
    <row r="157" spans="7:10" x14ac:dyDescent="0.25">
      <c r="G157" s="3"/>
      <c r="H157" s="3"/>
      <c r="I157" s="3"/>
      <c r="J157" s="3"/>
    </row>
    <row r="158" spans="7:10" x14ac:dyDescent="0.25">
      <c r="G158" s="3"/>
      <c r="H158" s="3"/>
      <c r="I158" s="3"/>
      <c r="J158" s="3"/>
    </row>
    <row r="159" spans="7:10" x14ac:dyDescent="0.25">
      <c r="G159" s="3"/>
      <c r="H159" s="3"/>
      <c r="I159" s="3"/>
      <c r="J159" s="3"/>
    </row>
    <row r="160" spans="7:10" x14ac:dyDescent="0.25">
      <c r="G160" s="3"/>
      <c r="H160" s="3"/>
      <c r="I160" s="3"/>
      <c r="J160" s="3"/>
    </row>
    <row r="161" spans="7:10" x14ac:dyDescent="0.25">
      <c r="G161" s="3"/>
      <c r="H161" s="3"/>
      <c r="I161" s="3"/>
      <c r="J161" s="3"/>
    </row>
    <row r="162" spans="7:10" x14ac:dyDescent="0.25">
      <c r="G162" s="3"/>
      <c r="H162" s="3"/>
      <c r="I162" s="3"/>
      <c r="J162" s="3"/>
    </row>
    <row r="163" spans="7:10" x14ac:dyDescent="0.25">
      <c r="G163" s="3"/>
      <c r="H163" s="3"/>
      <c r="I163" s="3"/>
      <c r="J163" s="3"/>
    </row>
    <row r="164" spans="7:10" x14ac:dyDescent="0.25">
      <c r="G164" s="3"/>
      <c r="H164" s="3"/>
      <c r="I164" s="3"/>
      <c r="J164" s="3"/>
    </row>
    <row r="165" spans="7:10" x14ac:dyDescent="0.25">
      <c r="G165" s="3"/>
      <c r="H165" s="3"/>
      <c r="I165" s="3"/>
      <c r="J165" s="3"/>
    </row>
    <row r="166" spans="7:10" x14ac:dyDescent="0.25">
      <c r="G166" s="3"/>
      <c r="H166" s="3"/>
      <c r="I166" s="3"/>
      <c r="J166" s="3"/>
    </row>
    <row r="167" spans="7:10" x14ac:dyDescent="0.25">
      <c r="G167" s="3"/>
      <c r="H167" s="3"/>
      <c r="I167" s="3"/>
      <c r="J167" s="3"/>
    </row>
    <row r="168" spans="7:10" x14ac:dyDescent="0.25">
      <c r="G168" s="3"/>
      <c r="H168" s="3"/>
      <c r="I168" s="3"/>
      <c r="J168" s="3"/>
    </row>
    <row r="169" spans="7:10" x14ac:dyDescent="0.25">
      <c r="G169" s="3"/>
      <c r="H169" s="3"/>
      <c r="I169" s="3"/>
      <c r="J169" s="3"/>
    </row>
    <row r="170" spans="7:10" x14ac:dyDescent="0.25">
      <c r="G170" s="3"/>
      <c r="H170" s="3"/>
      <c r="I170" s="3"/>
      <c r="J170" s="3"/>
    </row>
    <row r="171" spans="7:10" x14ac:dyDescent="0.25">
      <c r="G171" s="3"/>
      <c r="H171" s="3"/>
      <c r="I171" s="3"/>
      <c r="J171" s="3"/>
    </row>
    <row r="172" spans="7:10" x14ac:dyDescent="0.25">
      <c r="G172" s="3"/>
      <c r="H172" s="3"/>
      <c r="I172" s="3"/>
      <c r="J172" s="3"/>
    </row>
    <row r="173" spans="7:10" x14ac:dyDescent="0.25">
      <c r="G173" s="3"/>
      <c r="H173" s="3"/>
      <c r="I173" s="3"/>
      <c r="J173" s="3"/>
    </row>
    <row r="174" spans="7:10" x14ac:dyDescent="0.25">
      <c r="G174" s="3"/>
      <c r="H174" s="3"/>
      <c r="I174" s="3"/>
      <c r="J174" s="3"/>
    </row>
    <row r="175" spans="7:10" x14ac:dyDescent="0.25">
      <c r="G175" s="3"/>
      <c r="H175" s="3"/>
      <c r="I175" s="3"/>
      <c r="J175" s="3"/>
    </row>
    <row r="176" spans="7:10" x14ac:dyDescent="0.25">
      <c r="G176" s="3"/>
      <c r="H176" s="3"/>
      <c r="I176" s="3"/>
      <c r="J176" s="3"/>
    </row>
    <row r="177" spans="7:10" x14ac:dyDescent="0.25">
      <c r="G177" s="3"/>
      <c r="H177" s="3"/>
      <c r="I177" s="3"/>
      <c r="J177" s="3"/>
    </row>
    <row r="178" spans="7:10" x14ac:dyDescent="0.25">
      <c r="G178" s="3"/>
      <c r="H178" s="3"/>
      <c r="I178" s="3"/>
      <c r="J178" s="3"/>
    </row>
    <row r="179" spans="7:10" x14ac:dyDescent="0.25">
      <c r="G179" s="3"/>
      <c r="H179" s="3"/>
      <c r="I179" s="3"/>
      <c r="J179" s="3"/>
    </row>
    <row r="180" spans="7:10" x14ac:dyDescent="0.25">
      <c r="G180" s="3"/>
      <c r="H180" s="3"/>
      <c r="I180" s="3"/>
      <c r="J180" s="3"/>
    </row>
    <row r="181" spans="7:10" x14ac:dyDescent="0.25">
      <c r="G181" s="3"/>
      <c r="H181" s="3"/>
      <c r="I181" s="3"/>
      <c r="J181" s="3"/>
    </row>
    <row r="182" spans="7:10" x14ac:dyDescent="0.25">
      <c r="G182" s="3"/>
      <c r="H182" s="3"/>
      <c r="I182" s="3"/>
      <c r="J182" s="3"/>
    </row>
    <row r="183" spans="7:10" x14ac:dyDescent="0.25">
      <c r="G183" s="3"/>
      <c r="H183" s="3"/>
      <c r="I183" s="3"/>
      <c r="J183" s="3"/>
    </row>
    <row r="184" spans="7:10" x14ac:dyDescent="0.25">
      <c r="G184" s="3"/>
      <c r="H184" s="3"/>
      <c r="I184" s="3"/>
      <c r="J184" s="3"/>
    </row>
    <row r="185" spans="7:10" x14ac:dyDescent="0.25">
      <c r="G185" s="3"/>
      <c r="H185" s="3"/>
      <c r="I185" s="3"/>
      <c r="J185" s="3"/>
    </row>
    <row r="186" spans="7:10" x14ac:dyDescent="0.25">
      <c r="G186" s="3"/>
      <c r="H186" s="3"/>
      <c r="I186" s="3"/>
      <c r="J186" s="3"/>
    </row>
    <row r="187" spans="7:10" x14ac:dyDescent="0.25">
      <c r="G187" s="3"/>
      <c r="H187" s="3"/>
      <c r="I187" s="3"/>
      <c r="J187" s="3"/>
    </row>
    <row r="188" spans="7:10" x14ac:dyDescent="0.25">
      <c r="G188" s="3"/>
      <c r="H188" s="3"/>
      <c r="I188" s="3"/>
      <c r="J188" s="3"/>
    </row>
    <row r="189" spans="7:10" x14ac:dyDescent="0.25">
      <c r="G189" s="3"/>
      <c r="H189" s="3"/>
      <c r="I189" s="3"/>
      <c r="J189" s="3"/>
    </row>
    <row r="190" spans="7:10" x14ac:dyDescent="0.25">
      <c r="G190" s="3"/>
      <c r="H190" s="3"/>
      <c r="I190" s="3"/>
      <c r="J190" s="3"/>
    </row>
    <row r="191" spans="7:10" x14ac:dyDescent="0.25">
      <c r="G191" s="3"/>
      <c r="H191" s="3"/>
      <c r="I191" s="3"/>
      <c r="J191" s="3"/>
    </row>
    <row r="192" spans="7:10" x14ac:dyDescent="0.25">
      <c r="G192" s="3"/>
      <c r="H192" s="3"/>
      <c r="I192" s="3"/>
      <c r="J192" s="3"/>
    </row>
    <row r="193" spans="7:10" x14ac:dyDescent="0.25">
      <c r="G193" s="3"/>
      <c r="H193" s="3"/>
      <c r="I193" s="3"/>
      <c r="J193" s="3"/>
    </row>
    <row r="194" spans="7:10" x14ac:dyDescent="0.25">
      <c r="G194" s="3"/>
      <c r="H194" s="3"/>
      <c r="I194" s="3"/>
      <c r="J194" s="3"/>
    </row>
    <row r="195" spans="7:10" x14ac:dyDescent="0.25">
      <c r="G195" s="3"/>
      <c r="H195" s="3"/>
      <c r="I195" s="3"/>
      <c r="J195" s="3"/>
    </row>
    <row r="196" spans="7:10" x14ac:dyDescent="0.25">
      <c r="G196" s="3"/>
      <c r="H196" s="3"/>
      <c r="I196" s="3"/>
      <c r="J196" s="3"/>
    </row>
    <row r="197" spans="7:10" x14ac:dyDescent="0.25">
      <c r="G197" s="3"/>
      <c r="H197" s="3"/>
      <c r="I197" s="3"/>
      <c r="J197" s="3"/>
    </row>
    <row r="198" spans="7:10" x14ac:dyDescent="0.25">
      <c r="G198" s="3"/>
      <c r="H198" s="3"/>
      <c r="I198" s="3"/>
      <c r="J198" s="3"/>
    </row>
    <row r="199" spans="7:10" x14ac:dyDescent="0.25">
      <c r="G199" s="3"/>
      <c r="H199" s="3"/>
      <c r="I199" s="3"/>
      <c r="J199" s="3"/>
    </row>
    <row r="200" spans="7:10" x14ac:dyDescent="0.25">
      <c r="G200" s="3"/>
      <c r="H200" s="3"/>
      <c r="I200" s="3"/>
      <c r="J200" s="3"/>
    </row>
    <row r="201" spans="7:10" x14ac:dyDescent="0.25">
      <c r="G201" s="3"/>
      <c r="H201" s="3"/>
      <c r="I201" s="3"/>
      <c r="J201" s="3"/>
    </row>
    <row r="202" spans="7:10" x14ac:dyDescent="0.25">
      <c r="G202" s="3"/>
      <c r="H202" s="3"/>
      <c r="I202" s="3"/>
      <c r="J202" s="3"/>
    </row>
    <row r="203" spans="7:10" x14ac:dyDescent="0.25">
      <c r="G203" s="3"/>
      <c r="H203" s="3"/>
      <c r="I203" s="3"/>
      <c r="J203" s="3"/>
    </row>
    <row r="204" spans="7:10" x14ac:dyDescent="0.25">
      <c r="G204" s="3"/>
      <c r="H204" s="3"/>
      <c r="I204" s="3"/>
      <c r="J204" s="3"/>
    </row>
    <row r="205" spans="7:10" x14ac:dyDescent="0.25">
      <c r="G205" s="3"/>
      <c r="H205" s="3"/>
      <c r="I205" s="3"/>
      <c r="J205" s="3"/>
    </row>
    <row r="206" spans="7:10" x14ac:dyDescent="0.25">
      <c r="G206" s="3"/>
      <c r="H206" s="3"/>
      <c r="I206" s="3"/>
      <c r="J206" s="3"/>
    </row>
    <row r="207" spans="7:10" x14ac:dyDescent="0.25">
      <c r="G207" s="3"/>
      <c r="H207" s="3"/>
      <c r="I207" s="3"/>
      <c r="J207" s="3"/>
    </row>
    <row r="208" spans="7:10" x14ac:dyDescent="0.25">
      <c r="G208" s="3"/>
      <c r="H208" s="3"/>
      <c r="I208" s="3"/>
      <c r="J208" s="3"/>
    </row>
    <row r="209" spans="7:10" x14ac:dyDescent="0.25">
      <c r="G209" s="3"/>
      <c r="H209" s="3"/>
      <c r="I209" s="3"/>
      <c r="J209" s="3"/>
    </row>
    <row r="210" spans="7:10" x14ac:dyDescent="0.25">
      <c r="G210" s="3"/>
      <c r="H210" s="3"/>
      <c r="I210" s="3"/>
      <c r="J210" s="3"/>
    </row>
    <row r="211" spans="7:10" x14ac:dyDescent="0.25">
      <c r="G211" s="3"/>
      <c r="H211" s="3"/>
      <c r="I211" s="3"/>
      <c r="J211" s="3"/>
    </row>
    <row r="212" spans="7:10" x14ac:dyDescent="0.25">
      <c r="G212" s="3"/>
      <c r="H212" s="3"/>
      <c r="I212" s="3"/>
      <c r="J212" s="3"/>
    </row>
    <row r="213" spans="7:10" x14ac:dyDescent="0.25">
      <c r="G213" s="3"/>
      <c r="H213" s="3"/>
      <c r="I213" s="3"/>
      <c r="J213" s="3"/>
    </row>
    <row r="214" spans="7:10" x14ac:dyDescent="0.25">
      <c r="G214" s="3"/>
      <c r="H214" s="3"/>
      <c r="I214" s="3"/>
      <c r="J214" s="3"/>
    </row>
    <row r="215" spans="7:10" x14ac:dyDescent="0.25">
      <c r="G215" s="3"/>
      <c r="H215" s="3"/>
      <c r="I215" s="3"/>
      <c r="J215" s="3"/>
    </row>
    <row r="216" spans="7:10" x14ac:dyDescent="0.25">
      <c r="G216" s="3"/>
      <c r="H216" s="3"/>
      <c r="I216" s="3"/>
      <c r="J216" s="3"/>
    </row>
    <row r="217" spans="7:10" x14ac:dyDescent="0.25">
      <c r="G217" s="3"/>
      <c r="H217" s="3"/>
      <c r="I217" s="3"/>
      <c r="J217" s="3"/>
    </row>
    <row r="218" spans="7:10" x14ac:dyDescent="0.25">
      <c r="G218" s="3"/>
      <c r="H218" s="3"/>
      <c r="I218" s="3"/>
      <c r="J218" s="3"/>
    </row>
    <row r="219" spans="7:10" x14ac:dyDescent="0.25">
      <c r="G219" s="3"/>
      <c r="H219" s="3"/>
      <c r="I219" s="3"/>
      <c r="J219" s="3"/>
    </row>
    <row r="220" spans="7:10" x14ac:dyDescent="0.25">
      <c r="G220" s="3"/>
      <c r="H220" s="3"/>
      <c r="I220" s="3"/>
      <c r="J220" s="3"/>
    </row>
    <row r="221" spans="7:10" x14ac:dyDescent="0.25">
      <c r="G221" s="3"/>
      <c r="H221" s="3"/>
      <c r="I221" s="3"/>
      <c r="J221" s="3"/>
    </row>
    <row r="222" spans="7:10" x14ac:dyDescent="0.25">
      <c r="G222" s="3"/>
      <c r="H222" s="3"/>
      <c r="I222" s="3"/>
      <c r="J222" s="3"/>
    </row>
    <row r="223" spans="7:10" x14ac:dyDescent="0.25">
      <c r="G223" s="3"/>
      <c r="H223" s="3"/>
      <c r="I223" s="3"/>
      <c r="J223" s="3"/>
    </row>
    <row r="224" spans="7:10" x14ac:dyDescent="0.25">
      <c r="G224" s="3"/>
      <c r="H224" s="3"/>
      <c r="I224" s="3"/>
      <c r="J224" s="3"/>
    </row>
    <row r="225" spans="7:10" x14ac:dyDescent="0.25">
      <c r="G225" s="3"/>
      <c r="H225" s="3"/>
      <c r="I225" s="3"/>
      <c r="J225" s="3"/>
    </row>
    <row r="226" spans="7:10" x14ac:dyDescent="0.25">
      <c r="G226" s="3"/>
      <c r="H226" s="3"/>
      <c r="I226" s="3"/>
      <c r="J226" s="3"/>
    </row>
    <row r="227" spans="7:10" x14ac:dyDescent="0.25">
      <c r="G227" s="3"/>
      <c r="H227" s="3"/>
      <c r="I227" s="3"/>
      <c r="J227" s="3"/>
    </row>
    <row r="228" spans="7:10" x14ac:dyDescent="0.25">
      <c r="G228" s="3"/>
      <c r="H228" s="3"/>
      <c r="I228" s="3"/>
      <c r="J228" s="3"/>
    </row>
    <row r="229" spans="7:10" x14ac:dyDescent="0.25">
      <c r="G229" s="3"/>
      <c r="H229" s="3"/>
      <c r="I229" s="3"/>
      <c r="J229" s="3"/>
    </row>
    <row r="230" spans="7:10" x14ac:dyDescent="0.25">
      <c r="G230" s="3"/>
      <c r="H230" s="3"/>
      <c r="I230" s="3"/>
      <c r="J230" s="3"/>
    </row>
    <row r="231" spans="7:10" x14ac:dyDescent="0.25">
      <c r="G231" s="3"/>
      <c r="H231" s="3"/>
      <c r="I231" s="3"/>
      <c r="J231" s="3"/>
    </row>
    <row r="232" spans="7:10" x14ac:dyDescent="0.25">
      <c r="G232" s="3"/>
      <c r="H232" s="3"/>
      <c r="I232" s="3"/>
      <c r="J232" s="3"/>
    </row>
    <row r="233" spans="7:10" x14ac:dyDescent="0.25">
      <c r="G233" s="3"/>
      <c r="H233" s="3"/>
      <c r="I233" s="3"/>
      <c r="J233" s="3"/>
    </row>
    <row r="234" spans="7:10" x14ac:dyDescent="0.25">
      <c r="G234" s="3"/>
      <c r="H234" s="3"/>
      <c r="I234" s="3"/>
      <c r="J234" s="3"/>
    </row>
    <row r="235" spans="7:10" x14ac:dyDescent="0.25">
      <c r="G235" s="3"/>
      <c r="H235" s="3"/>
      <c r="I235" s="3"/>
      <c r="J235" s="3"/>
    </row>
    <row r="236" spans="7:10" x14ac:dyDescent="0.25">
      <c r="G236" s="3"/>
      <c r="H236" s="3"/>
      <c r="I236" s="3"/>
      <c r="J236" s="3"/>
    </row>
    <row r="237" spans="7:10" x14ac:dyDescent="0.25">
      <c r="G237" s="3"/>
      <c r="H237" s="3"/>
      <c r="I237" s="3"/>
      <c r="J237" s="3"/>
    </row>
    <row r="238" spans="7:10" x14ac:dyDescent="0.25">
      <c r="G238" s="3"/>
      <c r="H238" s="3"/>
      <c r="I238" s="3"/>
      <c r="J238" s="3"/>
    </row>
    <row r="239" spans="7:10" x14ac:dyDescent="0.25">
      <c r="G239" s="3"/>
      <c r="H239" s="3"/>
      <c r="I239" s="3"/>
      <c r="J239" s="3"/>
    </row>
    <row r="240" spans="7:10" x14ac:dyDescent="0.25">
      <c r="G240" s="3"/>
      <c r="H240" s="3"/>
      <c r="I240" s="3"/>
      <c r="J240" s="3"/>
    </row>
    <row r="241" spans="7:10" x14ac:dyDescent="0.25">
      <c r="G241" s="3"/>
      <c r="H241" s="3"/>
      <c r="I241" s="3"/>
      <c r="J241" s="3"/>
    </row>
    <row r="242" spans="7:10" x14ac:dyDescent="0.25">
      <c r="G242" s="3"/>
      <c r="H242" s="3"/>
      <c r="I242" s="3"/>
      <c r="J242" s="3"/>
    </row>
    <row r="243" spans="7:10" x14ac:dyDescent="0.25">
      <c r="G243" s="3"/>
      <c r="H243" s="3"/>
      <c r="I243" s="3"/>
      <c r="J243" s="3"/>
    </row>
    <row r="244" spans="7:10" x14ac:dyDescent="0.25">
      <c r="G244" s="3"/>
      <c r="H244" s="3"/>
      <c r="I244" s="3"/>
      <c r="J244" s="3"/>
    </row>
    <row r="245" spans="7:10" x14ac:dyDescent="0.25">
      <c r="G245" s="3"/>
      <c r="H245" s="3"/>
      <c r="I245" s="3"/>
      <c r="J245" s="3"/>
    </row>
    <row r="246" spans="7:10" x14ac:dyDescent="0.25">
      <c r="G246" s="3"/>
      <c r="H246" s="3"/>
      <c r="I246" s="3"/>
      <c r="J246" s="3"/>
    </row>
    <row r="247" spans="7:10" x14ac:dyDescent="0.25">
      <c r="G247" s="3"/>
      <c r="H247" s="3"/>
      <c r="I247" s="3"/>
      <c r="J247" s="3"/>
    </row>
    <row r="248" spans="7:10" x14ac:dyDescent="0.25">
      <c r="G248" s="3"/>
      <c r="H248" s="3"/>
      <c r="I248" s="3"/>
      <c r="J248" s="3"/>
    </row>
    <row r="249" spans="7:10" x14ac:dyDescent="0.25">
      <c r="G249" s="3"/>
      <c r="H249" s="3"/>
      <c r="I249" s="3"/>
      <c r="J249" s="3"/>
    </row>
    <row r="250" spans="7:10" x14ac:dyDescent="0.25">
      <c r="G250" s="3"/>
      <c r="H250" s="3"/>
      <c r="I250" s="3"/>
      <c r="J250" s="3"/>
    </row>
    <row r="251" spans="7:10" x14ac:dyDescent="0.25">
      <c r="G251" s="3"/>
      <c r="H251" s="3"/>
      <c r="I251" s="3"/>
      <c r="J251" s="3"/>
    </row>
    <row r="252" spans="7:10" x14ac:dyDescent="0.25">
      <c r="G252" s="3"/>
      <c r="H252" s="3"/>
      <c r="I252" s="3"/>
      <c r="J252" s="3"/>
    </row>
    <row r="253" spans="7:10" x14ac:dyDescent="0.25">
      <c r="G253" s="3"/>
      <c r="H253" s="3"/>
      <c r="I253" s="3"/>
      <c r="J253" s="3"/>
    </row>
    <row r="254" spans="7:10" x14ac:dyDescent="0.25">
      <c r="G254" s="3"/>
      <c r="H254" s="3"/>
      <c r="I254" s="3"/>
      <c r="J254" s="3"/>
    </row>
    <row r="255" spans="7:10" x14ac:dyDescent="0.25">
      <c r="G255" s="3"/>
      <c r="H255" s="3"/>
      <c r="I255" s="3"/>
      <c r="J255" s="3"/>
    </row>
    <row r="256" spans="7:10" x14ac:dyDescent="0.25">
      <c r="G256" s="3"/>
      <c r="H256" s="3"/>
      <c r="I256" s="3"/>
      <c r="J256" s="3"/>
    </row>
    <row r="257" spans="7:10" x14ac:dyDescent="0.25">
      <c r="G257" s="3"/>
      <c r="H257" s="3"/>
      <c r="I257" s="3"/>
      <c r="J257" s="3"/>
    </row>
    <row r="258" spans="7:10" x14ac:dyDescent="0.25">
      <c r="G258" s="3"/>
      <c r="H258" s="3"/>
      <c r="I258" s="3"/>
      <c r="J258" s="3"/>
    </row>
    <row r="259" spans="7:10" x14ac:dyDescent="0.25">
      <c r="G259" s="3"/>
      <c r="H259" s="3"/>
      <c r="I259" s="3"/>
      <c r="J259" s="3"/>
    </row>
    <row r="260" spans="7:10" x14ac:dyDescent="0.25">
      <c r="G260" s="3"/>
      <c r="H260" s="3"/>
      <c r="I260" s="3"/>
      <c r="J260" s="3"/>
    </row>
    <row r="261" spans="7:10" x14ac:dyDescent="0.25">
      <c r="G261" s="3"/>
      <c r="H261" s="3"/>
      <c r="I261" s="3"/>
      <c r="J261" s="3"/>
    </row>
    <row r="262" spans="7:10" x14ac:dyDescent="0.25">
      <c r="G262" s="3"/>
      <c r="H262" s="3"/>
      <c r="I262" s="3"/>
      <c r="J262" s="3"/>
    </row>
    <row r="263" spans="7:10" x14ac:dyDescent="0.25">
      <c r="G263" s="3"/>
      <c r="H263" s="3"/>
      <c r="I263" s="3"/>
      <c r="J263" s="3"/>
    </row>
    <row r="264" spans="7:10" x14ac:dyDescent="0.25">
      <c r="G264" s="3"/>
      <c r="H264" s="3"/>
      <c r="I264" s="3"/>
      <c r="J264" s="3"/>
    </row>
    <row r="265" spans="7:10" x14ac:dyDescent="0.25">
      <c r="G265" s="3"/>
      <c r="H265" s="3"/>
      <c r="I265" s="3"/>
      <c r="J265" s="3"/>
    </row>
    <row r="266" spans="7:10" x14ac:dyDescent="0.25">
      <c r="G266" s="3"/>
      <c r="H266" s="3"/>
      <c r="I266" s="3"/>
      <c r="J266" s="3"/>
    </row>
    <row r="267" spans="7:10" x14ac:dyDescent="0.25">
      <c r="G267" s="3"/>
      <c r="H267" s="3"/>
      <c r="I267" s="3"/>
      <c r="J267" s="3"/>
    </row>
    <row r="268" spans="7:10" x14ac:dyDescent="0.25">
      <c r="G268" s="3"/>
      <c r="H268" s="3"/>
      <c r="I268" s="3"/>
      <c r="J268" s="3"/>
    </row>
    <row r="269" spans="7:10" x14ac:dyDescent="0.25">
      <c r="G269" s="3"/>
      <c r="H269" s="3"/>
      <c r="I269" s="3"/>
      <c r="J269" s="3"/>
    </row>
    <row r="270" spans="7:10" x14ac:dyDescent="0.25">
      <c r="G270" s="3"/>
      <c r="H270" s="3"/>
      <c r="I270" s="3"/>
      <c r="J270" s="3"/>
    </row>
    <row r="271" spans="7:10" x14ac:dyDescent="0.25">
      <c r="G271" s="3"/>
      <c r="H271" s="3"/>
      <c r="I271" s="3"/>
      <c r="J271" s="3"/>
    </row>
    <row r="272" spans="7:10" x14ac:dyDescent="0.25">
      <c r="G272" s="3"/>
      <c r="H272" s="3"/>
      <c r="I272" s="3"/>
      <c r="J272" s="3"/>
    </row>
    <row r="273" spans="7:10" x14ac:dyDescent="0.25">
      <c r="G273" s="3"/>
      <c r="H273" s="3"/>
      <c r="I273" s="3"/>
      <c r="J273" s="3"/>
    </row>
    <row r="274" spans="7:10" x14ac:dyDescent="0.25">
      <c r="G274" s="3"/>
      <c r="H274" s="3"/>
      <c r="I274" s="3"/>
      <c r="J274" s="3"/>
    </row>
    <row r="275" spans="7:10" x14ac:dyDescent="0.25">
      <c r="G275" s="3"/>
      <c r="H275" s="3"/>
      <c r="I275" s="3"/>
      <c r="J275" s="3"/>
    </row>
    <row r="276" spans="7:10" x14ac:dyDescent="0.25">
      <c r="G276" s="3"/>
      <c r="H276" s="3"/>
      <c r="I276" s="3"/>
      <c r="J276" s="3"/>
    </row>
    <row r="277" spans="7:10" x14ac:dyDescent="0.25">
      <c r="G277" s="3"/>
      <c r="H277" s="3"/>
      <c r="I277" s="3"/>
      <c r="J277" s="3"/>
    </row>
    <row r="278" spans="7:10" x14ac:dyDescent="0.25">
      <c r="G278" s="3"/>
      <c r="H278" s="3"/>
      <c r="I278" s="3"/>
      <c r="J278" s="3"/>
    </row>
    <row r="279" spans="7:10" x14ac:dyDescent="0.25">
      <c r="G279" s="3"/>
      <c r="H279" s="3"/>
      <c r="I279" s="3"/>
      <c r="J279" s="3"/>
    </row>
    <row r="280" spans="7:10" x14ac:dyDescent="0.25">
      <c r="G280" s="3"/>
      <c r="H280" s="3"/>
      <c r="I280" s="3"/>
      <c r="J280" s="3"/>
    </row>
    <row r="281" spans="7:10" x14ac:dyDescent="0.25">
      <c r="G281" s="3"/>
      <c r="H281" s="3"/>
      <c r="I281" s="3"/>
      <c r="J281" s="3"/>
    </row>
    <row r="282" spans="7:10" x14ac:dyDescent="0.25">
      <c r="G282" s="3"/>
      <c r="H282" s="3"/>
      <c r="I282" s="3"/>
      <c r="J282" s="3"/>
    </row>
    <row r="283" spans="7:10" x14ac:dyDescent="0.25">
      <c r="G283" s="3"/>
      <c r="H283" s="3"/>
      <c r="I283" s="3"/>
      <c r="J283" s="3"/>
    </row>
    <row r="284" spans="7:10" x14ac:dyDescent="0.25">
      <c r="G284" s="3"/>
      <c r="H284" s="3"/>
      <c r="I284" s="3"/>
      <c r="J284" s="3"/>
    </row>
    <row r="285" spans="7:10" x14ac:dyDescent="0.25">
      <c r="G285" s="3"/>
      <c r="H285" s="3"/>
      <c r="I285" s="3"/>
      <c r="J285" s="3"/>
    </row>
    <row r="286" spans="7:10" x14ac:dyDescent="0.25">
      <c r="G286" s="3"/>
      <c r="H286" s="3"/>
      <c r="I286" s="3"/>
      <c r="J286" s="3"/>
    </row>
    <row r="287" spans="7:10" x14ac:dyDescent="0.25">
      <c r="G287" s="3"/>
      <c r="H287" s="3"/>
      <c r="I287" s="3"/>
      <c r="J287" s="3"/>
    </row>
    <row r="288" spans="7:10" x14ac:dyDescent="0.25">
      <c r="G288" s="3"/>
      <c r="H288" s="3"/>
      <c r="I288" s="3"/>
      <c r="J288" s="3"/>
    </row>
    <row r="289" spans="7:10" x14ac:dyDescent="0.25">
      <c r="G289" s="3"/>
      <c r="H289" s="3"/>
      <c r="I289" s="3"/>
      <c r="J289" s="3"/>
    </row>
    <row r="290" spans="7:10" x14ac:dyDescent="0.25">
      <c r="G290" s="3"/>
      <c r="H290" s="3"/>
      <c r="I290" s="3"/>
      <c r="J290" s="3"/>
    </row>
    <row r="291" spans="7:10" x14ac:dyDescent="0.25">
      <c r="G291" s="3"/>
      <c r="H291" s="3"/>
      <c r="I291" s="3"/>
      <c r="J291" s="3"/>
    </row>
    <row r="292" spans="7:10" x14ac:dyDescent="0.25">
      <c r="G292" s="3"/>
      <c r="H292" s="3"/>
      <c r="I292" s="3"/>
      <c r="J292" s="3"/>
    </row>
    <row r="293" spans="7:10" x14ac:dyDescent="0.25">
      <c r="G293" s="3"/>
      <c r="H293" s="3"/>
      <c r="I293" s="3"/>
      <c r="J293" s="3"/>
    </row>
    <row r="294" spans="7:10" x14ac:dyDescent="0.25">
      <c r="G294" s="3"/>
      <c r="H294" s="3"/>
      <c r="I294" s="3"/>
      <c r="J294" s="3"/>
    </row>
    <row r="295" spans="7:10" x14ac:dyDescent="0.25">
      <c r="G295" s="3"/>
      <c r="H295" s="3"/>
      <c r="I295" s="3"/>
      <c r="J295" s="3"/>
    </row>
    <row r="296" spans="7:10" x14ac:dyDescent="0.25">
      <c r="G296" s="3"/>
      <c r="H296" s="3"/>
      <c r="I296" s="3"/>
      <c r="J296" s="3"/>
    </row>
    <row r="297" spans="7:10" x14ac:dyDescent="0.25">
      <c r="G297" s="3"/>
      <c r="H297" s="3"/>
      <c r="I297" s="3"/>
      <c r="J297" s="3"/>
    </row>
    <row r="298" spans="7:10" x14ac:dyDescent="0.25">
      <c r="G298" s="3"/>
      <c r="H298" s="3"/>
      <c r="I298" s="3"/>
      <c r="J298" s="3"/>
    </row>
    <row r="299" spans="7:10" x14ac:dyDescent="0.25">
      <c r="G299" s="3"/>
      <c r="H299" s="3"/>
      <c r="I299" s="3"/>
      <c r="J299" s="3"/>
    </row>
    <row r="300" spans="7:10" x14ac:dyDescent="0.25">
      <c r="G300" s="3"/>
      <c r="H300" s="3"/>
      <c r="I300" s="3"/>
      <c r="J300" s="3"/>
    </row>
    <row r="301" spans="7:10" x14ac:dyDescent="0.25">
      <c r="G301" s="3"/>
      <c r="H301" s="3"/>
      <c r="I301" s="3"/>
      <c r="J301" s="3"/>
    </row>
    <row r="302" spans="7:10" x14ac:dyDescent="0.25">
      <c r="G302" s="3"/>
      <c r="H302" s="3"/>
      <c r="I302" s="3"/>
      <c r="J302" s="3"/>
    </row>
    <row r="303" spans="7:10" x14ac:dyDescent="0.25">
      <c r="G303" s="3"/>
      <c r="H303" s="3"/>
      <c r="I303" s="3"/>
      <c r="J303" s="3"/>
    </row>
    <row r="304" spans="7:10" x14ac:dyDescent="0.25">
      <c r="G304" s="3"/>
      <c r="H304" s="3"/>
      <c r="I304" s="3"/>
      <c r="J304" s="3"/>
    </row>
    <row r="305" spans="7:10" x14ac:dyDescent="0.25">
      <c r="G305" s="3"/>
      <c r="H305" s="3"/>
      <c r="I305" s="3"/>
      <c r="J305" s="3"/>
    </row>
    <row r="306" spans="7:10" x14ac:dyDescent="0.25">
      <c r="G306" s="3"/>
      <c r="H306" s="3"/>
      <c r="I306" s="3"/>
      <c r="J306" s="3"/>
    </row>
    <row r="307" spans="7:10" x14ac:dyDescent="0.25">
      <c r="G307" s="3"/>
      <c r="H307" s="3"/>
      <c r="I307" s="3"/>
      <c r="J307" s="3"/>
    </row>
    <row r="308" spans="7:10" x14ac:dyDescent="0.25">
      <c r="G308" s="3"/>
      <c r="H308" s="3"/>
      <c r="I308" s="3"/>
      <c r="J308" s="3"/>
    </row>
    <row r="309" spans="7:10" x14ac:dyDescent="0.25">
      <c r="G309" s="3"/>
      <c r="H309" s="3"/>
      <c r="I309" s="3"/>
      <c r="J309" s="3"/>
    </row>
    <row r="310" spans="7:10" x14ac:dyDescent="0.25">
      <c r="G310" s="3"/>
      <c r="H310" s="3"/>
      <c r="I310" s="3"/>
      <c r="J310" s="3"/>
    </row>
    <row r="311" spans="7:10" x14ac:dyDescent="0.25">
      <c r="G311" s="3"/>
      <c r="H311" s="3"/>
      <c r="I311" s="3"/>
      <c r="J311" s="3"/>
    </row>
    <row r="312" spans="7:10" x14ac:dyDescent="0.25">
      <c r="G312" s="3"/>
      <c r="H312" s="3"/>
      <c r="I312" s="3"/>
      <c r="J312" s="3"/>
    </row>
    <row r="313" spans="7:10" x14ac:dyDescent="0.25">
      <c r="G313" s="3"/>
      <c r="H313" s="3"/>
      <c r="I313" s="3"/>
      <c r="J313" s="3"/>
    </row>
    <row r="314" spans="7:10" x14ac:dyDescent="0.25">
      <c r="G314" s="3"/>
      <c r="H314" s="3"/>
      <c r="I314" s="3"/>
      <c r="J314" s="3"/>
    </row>
    <row r="315" spans="7:10" x14ac:dyDescent="0.25">
      <c r="G315" s="3"/>
      <c r="H315" s="3"/>
      <c r="I315" s="3"/>
      <c r="J315" s="3"/>
    </row>
    <row r="316" spans="7:10" x14ac:dyDescent="0.25">
      <c r="G316" s="3"/>
      <c r="H316" s="3"/>
      <c r="I316" s="3"/>
      <c r="J316" s="3"/>
    </row>
    <row r="317" spans="7:10" x14ac:dyDescent="0.25">
      <c r="G317" s="3"/>
      <c r="H317" s="3"/>
      <c r="I317" s="3"/>
      <c r="J317" s="3"/>
    </row>
    <row r="318" spans="7:10" x14ac:dyDescent="0.25">
      <c r="G318" s="3"/>
      <c r="H318" s="3"/>
      <c r="I318" s="3"/>
      <c r="J318" s="3"/>
    </row>
    <row r="319" spans="7:10" x14ac:dyDescent="0.25">
      <c r="G319" s="3"/>
      <c r="H319" s="3"/>
      <c r="I319" s="3"/>
      <c r="J319" s="3"/>
    </row>
    <row r="320" spans="7:10" x14ac:dyDescent="0.25">
      <c r="G320" s="3"/>
      <c r="H320" s="3"/>
      <c r="I320" s="3"/>
      <c r="J320" s="3"/>
    </row>
    <row r="321" spans="7:10" x14ac:dyDescent="0.25">
      <c r="G321" s="3"/>
      <c r="H321" s="3"/>
      <c r="I321" s="3"/>
      <c r="J321" s="3"/>
    </row>
    <row r="322" spans="7:10" x14ac:dyDescent="0.25">
      <c r="G322" s="3"/>
      <c r="H322" s="3"/>
      <c r="I322" s="3"/>
      <c r="J322" s="3"/>
    </row>
    <row r="323" spans="7:10" x14ac:dyDescent="0.25">
      <c r="G323" s="3"/>
      <c r="H323" s="3"/>
      <c r="I323" s="3"/>
      <c r="J323" s="3"/>
    </row>
    <row r="324" spans="7:10" x14ac:dyDescent="0.25">
      <c r="G324" s="3"/>
      <c r="H324" s="3"/>
      <c r="I324" s="3"/>
      <c r="J324" s="3"/>
    </row>
    <row r="325" spans="7:10" x14ac:dyDescent="0.25">
      <c r="G325" s="3"/>
      <c r="H325" s="3"/>
      <c r="I325" s="3"/>
      <c r="J325" s="3"/>
    </row>
    <row r="326" spans="7:10" x14ac:dyDescent="0.25">
      <c r="G326" s="3"/>
      <c r="H326" s="3"/>
      <c r="I326" s="3"/>
      <c r="J326" s="3"/>
    </row>
    <row r="327" spans="7:10" x14ac:dyDescent="0.25">
      <c r="G327" s="3"/>
      <c r="H327" s="3"/>
      <c r="I327" s="3"/>
      <c r="J327" s="3"/>
    </row>
    <row r="328" spans="7:10" x14ac:dyDescent="0.25">
      <c r="G328" s="3"/>
      <c r="H328" s="3"/>
      <c r="I328" s="3"/>
      <c r="J328" s="3"/>
    </row>
    <row r="329" spans="7:10" x14ac:dyDescent="0.25">
      <c r="G329" s="3"/>
      <c r="H329" s="3"/>
      <c r="I329" s="3"/>
      <c r="J329" s="3"/>
    </row>
    <row r="330" spans="7:10" x14ac:dyDescent="0.25">
      <c r="G330" s="3"/>
      <c r="H330" s="3"/>
      <c r="I330" s="3"/>
      <c r="J330" s="3"/>
    </row>
    <row r="331" spans="7:10" x14ac:dyDescent="0.25">
      <c r="G331" s="3"/>
      <c r="H331" s="3"/>
      <c r="I331" s="3"/>
      <c r="J331" s="3"/>
    </row>
    <row r="332" spans="7:10" x14ac:dyDescent="0.25">
      <c r="G332" s="3"/>
      <c r="H332" s="3"/>
      <c r="I332" s="3"/>
      <c r="J332" s="3"/>
    </row>
    <row r="333" spans="7:10" x14ac:dyDescent="0.25">
      <c r="G333" s="3"/>
      <c r="H333" s="3"/>
      <c r="I333" s="3"/>
      <c r="J333" s="3"/>
    </row>
    <row r="334" spans="7:10" x14ac:dyDescent="0.25">
      <c r="G334" s="3"/>
      <c r="H334" s="3"/>
      <c r="I334" s="3"/>
      <c r="J334" s="3"/>
    </row>
    <row r="335" spans="7:10" x14ac:dyDescent="0.25">
      <c r="G335" s="3"/>
      <c r="H335" s="3"/>
      <c r="I335" s="3"/>
      <c r="J335" s="3"/>
    </row>
    <row r="336" spans="7:10" x14ac:dyDescent="0.25">
      <c r="G336" s="3"/>
      <c r="H336" s="3"/>
      <c r="I336" s="3"/>
      <c r="J336" s="3"/>
    </row>
    <row r="337" spans="7:10" x14ac:dyDescent="0.25">
      <c r="G337" s="3"/>
      <c r="H337" s="3"/>
      <c r="I337" s="3"/>
      <c r="J337" s="3"/>
    </row>
    <row r="338" spans="7:10" x14ac:dyDescent="0.25">
      <c r="G338" s="3"/>
      <c r="H338" s="3"/>
      <c r="I338" s="3"/>
      <c r="J338" s="3"/>
    </row>
    <row r="339" spans="7:10" x14ac:dyDescent="0.25">
      <c r="G339" s="3"/>
      <c r="H339" s="3"/>
      <c r="I339" s="3"/>
      <c r="J339" s="3"/>
    </row>
    <row r="340" spans="7:10" x14ac:dyDescent="0.25">
      <c r="G340" s="3"/>
      <c r="H340" s="3"/>
      <c r="I340" s="3"/>
      <c r="J340" s="3"/>
    </row>
    <row r="341" spans="7:10" x14ac:dyDescent="0.25">
      <c r="G341" s="3"/>
      <c r="H341" s="3"/>
      <c r="I341" s="3"/>
      <c r="J341" s="3"/>
    </row>
    <row r="342" spans="7:10" x14ac:dyDescent="0.25">
      <c r="G342" s="3"/>
      <c r="H342" s="3"/>
      <c r="I342" s="3"/>
      <c r="J342" s="3"/>
    </row>
    <row r="343" spans="7:10" x14ac:dyDescent="0.25">
      <c r="G343" s="3"/>
      <c r="H343" s="3"/>
      <c r="I343" s="3"/>
      <c r="J343" s="3"/>
    </row>
    <row r="344" spans="7:10" x14ac:dyDescent="0.25">
      <c r="G344" s="3"/>
      <c r="H344" s="3"/>
      <c r="I344" s="3"/>
      <c r="J344" s="3"/>
    </row>
    <row r="345" spans="7:10" x14ac:dyDescent="0.25">
      <c r="G345" s="3"/>
      <c r="H345" s="3"/>
      <c r="I345" s="3"/>
      <c r="J345" s="3"/>
    </row>
    <row r="346" spans="7:10" x14ac:dyDescent="0.25">
      <c r="G346" s="3"/>
      <c r="H346" s="3"/>
      <c r="I346" s="3"/>
      <c r="J346" s="3"/>
    </row>
    <row r="347" spans="7:10" x14ac:dyDescent="0.25">
      <c r="G347" s="3"/>
      <c r="H347" s="3"/>
      <c r="I347" s="3"/>
      <c r="J347" s="3"/>
    </row>
    <row r="348" spans="7:10" x14ac:dyDescent="0.25">
      <c r="G348" s="3"/>
      <c r="H348" s="3"/>
      <c r="I348" s="3"/>
      <c r="J348" s="3"/>
    </row>
    <row r="349" spans="7:10" x14ac:dyDescent="0.25">
      <c r="G349" s="3"/>
      <c r="H349" s="3"/>
      <c r="I349" s="3"/>
      <c r="J349" s="3"/>
    </row>
    <row r="350" spans="7:10" x14ac:dyDescent="0.25">
      <c r="G350" s="3"/>
      <c r="H350" s="3"/>
      <c r="I350" s="3"/>
      <c r="J350" s="3"/>
    </row>
    <row r="351" spans="7:10" x14ac:dyDescent="0.25">
      <c r="G351" s="3"/>
      <c r="H351" s="3"/>
      <c r="I351" s="3"/>
      <c r="J351" s="3"/>
    </row>
    <row r="352" spans="7:10" x14ac:dyDescent="0.25">
      <c r="G352" s="3"/>
      <c r="H352" s="3"/>
      <c r="I352" s="3"/>
      <c r="J352" s="3"/>
    </row>
    <row r="353" spans="7:10" x14ac:dyDescent="0.25">
      <c r="G353" s="3"/>
      <c r="H353" s="3"/>
      <c r="I353" s="3"/>
      <c r="J353" s="3"/>
    </row>
    <row r="354" spans="7:10" x14ac:dyDescent="0.25">
      <c r="G354" s="3"/>
      <c r="H354" s="3"/>
      <c r="I354" s="3"/>
      <c r="J354" s="3"/>
    </row>
    <row r="355" spans="7:10" x14ac:dyDescent="0.25">
      <c r="G355" s="3"/>
      <c r="H355" s="3"/>
      <c r="I355" s="3"/>
      <c r="J355" s="3"/>
    </row>
    <row r="356" spans="7:10" x14ac:dyDescent="0.25">
      <c r="G356" s="3"/>
      <c r="H356" s="3"/>
      <c r="I356" s="3"/>
      <c r="J356" s="3"/>
    </row>
    <row r="357" spans="7:10" x14ac:dyDescent="0.25">
      <c r="G357" s="3"/>
      <c r="H357" s="3"/>
      <c r="I357" s="3"/>
      <c r="J357" s="3"/>
    </row>
    <row r="358" spans="7:10" x14ac:dyDescent="0.25">
      <c r="G358" s="3"/>
      <c r="H358" s="3"/>
      <c r="I358" s="3"/>
      <c r="J358" s="3"/>
    </row>
    <row r="359" spans="7:10" x14ac:dyDescent="0.25">
      <c r="G359" s="3"/>
      <c r="H359" s="3"/>
      <c r="I359" s="3"/>
      <c r="J359" s="3"/>
    </row>
    <row r="360" spans="7:10" x14ac:dyDescent="0.25">
      <c r="G360" s="3"/>
      <c r="H360" s="3"/>
      <c r="I360" s="3"/>
      <c r="J360" s="3"/>
    </row>
    <row r="361" spans="7:10" x14ac:dyDescent="0.25">
      <c r="G361" s="3"/>
      <c r="H361" s="3"/>
      <c r="I361" s="3"/>
      <c r="J361" s="3"/>
    </row>
    <row r="362" spans="7:10" x14ac:dyDescent="0.25">
      <c r="G362" s="3"/>
      <c r="H362" s="3"/>
      <c r="I362" s="3"/>
      <c r="J362" s="3"/>
    </row>
    <row r="363" spans="7:10" x14ac:dyDescent="0.25">
      <c r="G363" s="3"/>
      <c r="H363" s="3"/>
      <c r="I363" s="3"/>
      <c r="J363" s="3"/>
    </row>
    <row r="364" spans="7:10" x14ac:dyDescent="0.25">
      <c r="G364" s="3"/>
      <c r="H364" s="3"/>
      <c r="I364" s="3"/>
      <c r="J364" s="3"/>
    </row>
    <row r="365" spans="7:10" x14ac:dyDescent="0.25">
      <c r="G365" s="3"/>
      <c r="H365" s="3"/>
      <c r="I365" s="3"/>
      <c r="J365" s="3"/>
    </row>
    <row r="366" spans="7:10" x14ac:dyDescent="0.25">
      <c r="G366" s="3"/>
      <c r="H366" s="3"/>
      <c r="I366" s="3"/>
      <c r="J366" s="3"/>
    </row>
    <row r="367" spans="7:10" x14ac:dyDescent="0.25">
      <c r="G367" s="3"/>
      <c r="H367" s="3"/>
      <c r="I367" s="3"/>
      <c r="J367" s="3"/>
    </row>
    <row r="368" spans="7:10" x14ac:dyDescent="0.25">
      <c r="G368" s="3"/>
      <c r="H368" s="3"/>
      <c r="I368" s="3"/>
      <c r="J368" s="3"/>
    </row>
    <row r="369" spans="7:10" x14ac:dyDescent="0.25">
      <c r="G369" s="3"/>
      <c r="H369" s="3"/>
      <c r="I369" s="3"/>
      <c r="J369" s="3"/>
    </row>
    <row r="370" spans="7:10" x14ac:dyDescent="0.25">
      <c r="G370" s="3"/>
      <c r="H370" s="3"/>
      <c r="I370" s="3"/>
      <c r="J370" s="3"/>
    </row>
    <row r="371" spans="7:10" x14ac:dyDescent="0.25">
      <c r="G371" s="3"/>
      <c r="H371" s="3"/>
      <c r="I371" s="3"/>
      <c r="J371" s="3"/>
    </row>
    <row r="372" spans="7:10" x14ac:dyDescent="0.25">
      <c r="G372" s="3"/>
      <c r="H372" s="3"/>
      <c r="I372" s="3"/>
      <c r="J372" s="3"/>
    </row>
    <row r="373" spans="7:10" x14ac:dyDescent="0.25">
      <c r="G373" s="3"/>
      <c r="H373" s="3"/>
      <c r="I373" s="3"/>
      <c r="J373" s="3"/>
    </row>
    <row r="374" spans="7:10" x14ac:dyDescent="0.25">
      <c r="G374" s="3"/>
      <c r="H374" s="3"/>
      <c r="I374" s="3"/>
      <c r="J374" s="3"/>
    </row>
    <row r="375" spans="7:10" x14ac:dyDescent="0.25">
      <c r="G375" s="3"/>
      <c r="H375" s="3"/>
      <c r="I375" s="3"/>
      <c r="J375" s="3"/>
    </row>
    <row r="376" spans="7:10" x14ac:dyDescent="0.25">
      <c r="G376" s="3"/>
      <c r="H376" s="3"/>
      <c r="I376" s="3"/>
      <c r="J376" s="3"/>
    </row>
    <row r="377" spans="7:10" x14ac:dyDescent="0.25">
      <c r="G377" s="3"/>
      <c r="H377" s="3"/>
      <c r="I377" s="3"/>
      <c r="J377" s="3"/>
    </row>
    <row r="378" spans="7:10" x14ac:dyDescent="0.25">
      <c r="G378" s="3"/>
      <c r="H378" s="3"/>
      <c r="I378" s="3"/>
      <c r="J378" s="3"/>
    </row>
    <row r="379" spans="7:10" x14ac:dyDescent="0.25">
      <c r="G379" s="3"/>
      <c r="H379" s="3"/>
      <c r="I379" s="3"/>
      <c r="J379" s="3"/>
    </row>
    <row r="380" spans="7:10" x14ac:dyDescent="0.25">
      <c r="G380" s="3"/>
      <c r="H380" s="3"/>
      <c r="I380" s="3"/>
      <c r="J380" s="3"/>
    </row>
    <row r="381" spans="7:10" x14ac:dyDescent="0.25">
      <c r="G381" s="3"/>
      <c r="H381" s="3"/>
      <c r="I381" s="3"/>
      <c r="J381" s="3"/>
    </row>
    <row r="382" spans="7:10" x14ac:dyDescent="0.25">
      <c r="G382" s="3"/>
      <c r="H382" s="3"/>
      <c r="I382" s="3"/>
      <c r="J382" s="3"/>
    </row>
    <row r="383" spans="7:10" x14ac:dyDescent="0.25">
      <c r="G383" s="3"/>
      <c r="H383" s="3"/>
      <c r="I383" s="3"/>
      <c r="J383" s="3"/>
    </row>
    <row r="384" spans="7:10" x14ac:dyDescent="0.25">
      <c r="G384" s="3"/>
      <c r="H384" s="3"/>
      <c r="I384" s="3"/>
      <c r="J384" s="3"/>
    </row>
    <row r="385" spans="7:10" x14ac:dyDescent="0.25">
      <c r="G385" s="3"/>
      <c r="H385" s="3"/>
      <c r="I385" s="3"/>
      <c r="J385" s="3"/>
    </row>
    <row r="386" spans="7:10" x14ac:dyDescent="0.25">
      <c r="G386" s="3"/>
      <c r="H386" s="3"/>
      <c r="I386" s="3"/>
      <c r="J386" s="3"/>
    </row>
    <row r="387" spans="7:10" x14ac:dyDescent="0.25">
      <c r="G387" s="3"/>
      <c r="H387" s="3"/>
      <c r="I387" s="3"/>
      <c r="J387" s="3"/>
    </row>
    <row r="388" spans="7:10" x14ac:dyDescent="0.25">
      <c r="G388" s="3"/>
      <c r="H388" s="3"/>
      <c r="I388" s="3"/>
      <c r="J388" s="3"/>
    </row>
    <row r="389" spans="7:10" x14ac:dyDescent="0.25">
      <c r="G389" s="3"/>
      <c r="H389" s="3"/>
      <c r="I389" s="3"/>
      <c r="J389" s="3"/>
    </row>
    <row r="390" spans="7:10" x14ac:dyDescent="0.25">
      <c r="G390" s="3"/>
      <c r="H390" s="3"/>
      <c r="I390" s="3"/>
      <c r="J390" s="3"/>
    </row>
    <row r="391" spans="7:10" x14ac:dyDescent="0.25">
      <c r="G391" s="3"/>
      <c r="H391" s="3"/>
      <c r="I391" s="3"/>
      <c r="J391" s="3"/>
    </row>
    <row r="392" spans="7:10" x14ac:dyDescent="0.25">
      <c r="G392" s="3"/>
      <c r="H392" s="3"/>
      <c r="I392" s="3"/>
      <c r="J392" s="3"/>
    </row>
    <row r="393" spans="7:10" x14ac:dyDescent="0.25">
      <c r="G393" s="3"/>
      <c r="H393" s="3"/>
      <c r="I393" s="3"/>
      <c r="J393" s="3"/>
    </row>
    <row r="394" spans="7:10" x14ac:dyDescent="0.25">
      <c r="G394" s="3"/>
      <c r="H394" s="3"/>
      <c r="I394" s="3"/>
      <c r="J394" s="3"/>
    </row>
    <row r="395" spans="7:10" x14ac:dyDescent="0.25">
      <c r="G395" s="3"/>
      <c r="H395" s="3"/>
      <c r="I395" s="3"/>
      <c r="J395" s="3"/>
    </row>
    <row r="396" spans="7:10" x14ac:dyDescent="0.25">
      <c r="G396" s="3"/>
      <c r="H396" s="3"/>
      <c r="I396" s="3"/>
      <c r="J396" s="3"/>
    </row>
    <row r="397" spans="7:10" x14ac:dyDescent="0.25">
      <c r="G397" s="3"/>
      <c r="H397" s="3"/>
      <c r="I397" s="3"/>
      <c r="J397" s="3"/>
    </row>
    <row r="398" spans="7:10" x14ac:dyDescent="0.25">
      <c r="G398" s="3"/>
      <c r="H398" s="3"/>
      <c r="I398" s="3"/>
      <c r="J398" s="3"/>
    </row>
    <row r="399" spans="7:10" x14ac:dyDescent="0.25">
      <c r="G399" s="3"/>
      <c r="H399" s="3"/>
      <c r="I399" s="3"/>
      <c r="J399" s="3"/>
    </row>
    <row r="400" spans="7:10" x14ac:dyDescent="0.25">
      <c r="G400" s="3"/>
      <c r="H400" s="3"/>
      <c r="I400" s="3"/>
      <c r="J400" s="3"/>
    </row>
    <row r="401" spans="7:10" x14ac:dyDescent="0.25">
      <c r="G401" s="3"/>
      <c r="H401" s="3"/>
      <c r="I401" s="3"/>
      <c r="J401" s="3"/>
    </row>
    <row r="402" spans="7:10" x14ac:dyDescent="0.25">
      <c r="G402" s="3"/>
      <c r="H402" s="3"/>
      <c r="I402" s="3"/>
      <c r="J402" s="3"/>
    </row>
    <row r="403" spans="7:10" x14ac:dyDescent="0.25">
      <c r="G403" s="3"/>
      <c r="H403" s="3"/>
      <c r="I403" s="3"/>
      <c r="J403" s="3"/>
    </row>
    <row r="404" spans="7:10" x14ac:dyDescent="0.25">
      <c r="G404" s="3"/>
      <c r="H404" s="3"/>
      <c r="I404" s="3"/>
      <c r="J404" s="3"/>
    </row>
    <row r="405" spans="7:10" x14ac:dyDescent="0.25">
      <c r="G405" s="3"/>
      <c r="H405" s="3"/>
      <c r="I405" s="3"/>
      <c r="J405" s="3"/>
    </row>
    <row r="406" spans="7:10" x14ac:dyDescent="0.25">
      <c r="G406" s="3"/>
      <c r="H406" s="3"/>
      <c r="I406" s="3"/>
      <c r="J406" s="3"/>
    </row>
    <row r="407" spans="7:10" x14ac:dyDescent="0.25">
      <c r="G407" s="3"/>
      <c r="H407" s="3"/>
      <c r="I407" s="3"/>
      <c r="J407" s="3"/>
    </row>
    <row r="408" spans="7:10" x14ac:dyDescent="0.25">
      <c r="G408" s="3"/>
      <c r="H408" s="3"/>
      <c r="I408" s="3"/>
      <c r="J408" s="3"/>
    </row>
    <row r="409" spans="7:10" x14ac:dyDescent="0.25">
      <c r="G409" s="3"/>
      <c r="H409" s="3"/>
      <c r="I409" s="3"/>
      <c r="J409" s="3"/>
    </row>
    <row r="410" spans="7:10" x14ac:dyDescent="0.25">
      <c r="G410" s="3"/>
      <c r="H410" s="3"/>
      <c r="I410" s="3"/>
      <c r="J410" s="3"/>
    </row>
    <row r="411" spans="7:10" x14ac:dyDescent="0.25">
      <c r="G411" s="3"/>
      <c r="H411" s="3"/>
      <c r="I411" s="3"/>
      <c r="J411" s="3"/>
    </row>
    <row r="412" spans="7:10" x14ac:dyDescent="0.25">
      <c r="G412" s="3"/>
      <c r="H412" s="3"/>
      <c r="I412" s="3"/>
      <c r="J412" s="3"/>
    </row>
    <row r="413" spans="7:10" x14ac:dyDescent="0.25">
      <c r="G413" s="3"/>
      <c r="H413" s="3"/>
      <c r="I413" s="3"/>
      <c r="J413" s="3"/>
    </row>
    <row r="414" spans="7:10" x14ac:dyDescent="0.25">
      <c r="G414" s="3"/>
      <c r="H414" s="3"/>
      <c r="I414" s="3"/>
      <c r="J414" s="3"/>
    </row>
    <row r="415" spans="7:10" x14ac:dyDescent="0.25">
      <c r="G415" s="3"/>
      <c r="H415" s="3"/>
      <c r="I415" s="3"/>
      <c r="J415" s="3"/>
    </row>
    <row r="416" spans="7:10" x14ac:dyDescent="0.25">
      <c r="G416" s="3"/>
      <c r="H416" s="3"/>
      <c r="I416" s="3"/>
      <c r="J416" s="3"/>
    </row>
    <row r="417" spans="7:10" x14ac:dyDescent="0.25">
      <c r="G417" s="3"/>
      <c r="H417" s="3"/>
      <c r="I417" s="3"/>
      <c r="J417" s="3"/>
    </row>
    <row r="418" spans="7:10" x14ac:dyDescent="0.25">
      <c r="G418" s="3"/>
      <c r="H418" s="3"/>
      <c r="I418" s="3"/>
      <c r="J418" s="3"/>
    </row>
    <row r="419" spans="7:10" x14ac:dyDescent="0.25">
      <c r="G419" s="3"/>
      <c r="H419" s="3"/>
      <c r="I419" s="3"/>
      <c r="J419" s="3"/>
    </row>
    <row r="420" spans="7:10" x14ac:dyDescent="0.25">
      <c r="G420" s="3"/>
      <c r="H420" s="3"/>
      <c r="I420" s="3"/>
      <c r="J420" s="3"/>
    </row>
    <row r="421" spans="7:10" x14ac:dyDescent="0.25">
      <c r="G421" s="3"/>
      <c r="H421" s="3"/>
      <c r="I421" s="3"/>
      <c r="J421" s="3"/>
    </row>
    <row r="422" spans="7:10" x14ac:dyDescent="0.25">
      <c r="G422" s="3"/>
      <c r="H422" s="3"/>
      <c r="I422" s="3"/>
      <c r="J422" s="3"/>
    </row>
    <row r="423" spans="7:10" x14ac:dyDescent="0.25">
      <c r="G423" s="3"/>
      <c r="H423" s="3"/>
      <c r="I423" s="3"/>
      <c r="J423" s="3"/>
    </row>
    <row r="424" spans="7:10" x14ac:dyDescent="0.25">
      <c r="G424" s="3"/>
      <c r="H424" s="3"/>
      <c r="I424" s="3"/>
      <c r="J424" s="3"/>
    </row>
    <row r="425" spans="7:10" x14ac:dyDescent="0.25">
      <c r="G425" s="3"/>
      <c r="H425" s="3"/>
      <c r="I425" s="3"/>
      <c r="J425" s="3"/>
    </row>
    <row r="426" spans="7:10" x14ac:dyDescent="0.25">
      <c r="G426" s="3"/>
      <c r="H426" s="3"/>
      <c r="I426" s="3"/>
      <c r="J426" s="3"/>
    </row>
    <row r="427" spans="7:10" x14ac:dyDescent="0.25">
      <c r="G427" s="3"/>
      <c r="H427" s="3"/>
      <c r="I427" s="3"/>
      <c r="J427" s="3"/>
    </row>
    <row r="428" spans="7:10" x14ac:dyDescent="0.25">
      <c r="G428" s="3"/>
      <c r="H428" s="3"/>
      <c r="I428" s="3"/>
      <c r="J428" s="3"/>
    </row>
    <row r="429" spans="7:10" x14ac:dyDescent="0.25">
      <c r="G429" s="3"/>
      <c r="H429" s="3"/>
      <c r="I429" s="3"/>
      <c r="J429" s="3"/>
    </row>
    <row r="430" spans="7:10" x14ac:dyDescent="0.25">
      <c r="G430" s="3"/>
      <c r="H430" s="3"/>
      <c r="I430" s="3"/>
      <c r="J430" s="3"/>
    </row>
    <row r="431" spans="7:10" x14ac:dyDescent="0.25">
      <c r="G431" s="3"/>
      <c r="H431" s="3"/>
      <c r="I431" s="3"/>
      <c r="J431" s="3"/>
    </row>
    <row r="432" spans="7:10" x14ac:dyDescent="0.25">
      <c r="G432" s="3"/>
      <c r="H432" s="3"/>
      <c r="I432" s="3"/>
      <c r="J432" s="3"/>
    </row>
    <row r="433" spans="7:10" x14ac:dyDescent="0.25">
      <c r="G433" s="3"/>
      <c r="H433" s="3"/>
      <c r="I433" s="3"/>
      <c r="J433" s="3"/>
    </row>
    <row r="434" spans="7:10" x14ac:dyDescent="0.25">
      <c r="G434" s="3"/>
      <c r="H434" s="3"/>
      <c r="I434" s="3"/>
      <c r="J434" s="3"/>
    </row>
    <row r="435" spans="7:10" x14ac:dyDescent="0.25">
      <c r="G435" s="3"/>
      <c r="H435" s="3"/>
      <c r="I435" s="3"/>
      <c r="J435" s="3"/>
    </row>
    <row r="436" spans="7:10" x14ac:dyDescent="0.25">
      <c r="G436" s="3"/>
      <c r="H436" s="3"/>
      <c r="I436" s="3"/>
      <c r="J436" s="3"/>
    </row>
    <row r="437" spans="7:10" x14ac:dyDescent="0.25">
      <c r="G437" s="3"/>
      <c r="H437" s="3"/>
      <c r="I437" s="3"/>
      <c r="J437" s="3"/>
    </row>
    <row r="438" spans="7:10" x14ac:dyDescent="0.25">
      <c r="G438" s="3"/>
      <c r="H438" s="3"/>
      <c r="I438" s="3"/>
      <c r="J438" s="3"/>
    </row>
    <row r="439" spans="7:10" x14ac:dyDescent="0.25">
      <c r="G439" s="3"/>
      <c r="H439" s="3"/>
      <c r="I439" s="3"/>
      <c r="J439" s="3"/>
    </row>
    <row r="440" spans="7:10" x14ac:dyDescent="0.25">
      <c r="G440" s="3"/>
      <c r="H440" s="3"/>
      <c r="I440" s="3"/>
      <c r="J440" s="3"/>
    </row>
    <row r="441" spans="7:10" x14ac:dyDescent="0.25">
      <c r="G441" s="3"/>
      <c r="H441" s="3"/>
      <c r="I441" s="3"/>
      <c r="J441" s="3"/>
    </row>
    <row r="442" spans="7:10" x14ac:dyDescent="0.25">
      <c r="G442" s="3"/>
      <c r="H442" s="3"/>
      <c r="I442" s="3"/>
      <c r="J442" s="3"/>
    </row>
    <row r="443" spans="7:10" x14ac:dyDescent="0.25">
      <c r="G443" s="3"/>
      <c r="H443" s="3"/>
      <c r="I443" s="3"/>
      <c r="J443" s="3"/>
    </row>
    <row r="444" spans="7:10" x14ac:dyDescent="0.25">
      <c r="G444" s="3"/>
      <c r="H444" s="3"/>
      <c r="I444" s="3"/>
      <c r="J444" s="3"/>
    </row>
    <row r="445" spans="7:10" x14ac:dyDescent="0.25">
      <c r="G445" s="3"/>
      <c r="H445" s="3"/>
      <c r="I445" s="3"/>
      <c r="J445" s="3"/>
    </row>
    <row r="446" spans="7:10" x14ac:dyDescent="0.25">
      <c r="G446" s="3"/>
      <c r="H446" s="3"/>
      <c r="I446" s="3"/>
      <c r="J446" s="3"/>
    </row>
    <row r="447" spans="7:10" x14ac:dyDescent="0.25">
      <c r="G447" s="3"/>
      <c r="H447" s="3"/>
      <c r="I447" s="3"/>
      <c r="J447" s="3"/>
    </row>
    <row r="448" spans="7:10" x14ac:dyDescent="0.25">
      <c r="G448" s="3"/>
      <c r="H448" s="3"/>
      <c r="I448" s="3"/>
      <c r="J448" s="3"/>
    </row>
    <row r="449" spans="7:10" x14ac:dyDescent="0.25">
      <c r="G449" s="3"/>
      <c r="H449" s="3"/>
      <c r="I449" s="3"/>
      <c r="J449" s="3"/>
    </row>
    <row r="450" spans="7:10" x14ac:dyDescent="0.25">
      <c r="G450" s="3"/>
      <c r="H450" s="3"/>
      <c r="I450" s="3"/>
      <c r="J450" s="3"/>
    </row>
    <row r="451" spans="7:10" x14ac:dyDescent="0.25">
      <c r="G451" s="3"/>
      <c r="H451" s="3"/>
      <c r="I451" s="3"/>
      <c r="J451" s="3"/>
    </row>
    <row r="452" spans="7:10" x14ac:dyDescent="0.25">
      <c r="G452" s="3"/>
      <c r="H452" s="3"/>
      <c r="I452" s="3"/>
      <c r="J452" s="3"/>
    </row>
    <row r="453" spans="7:10" x14ac:dyDescent="0.25">
      <c r="G453" s="3"/>
      <c r="H453" s="3"/>
      <c r="I453" s="3"/>
      <c r="J453" s="3"/>
    </row>
    <row r="454" spans="7:10" x14ac:dyDescent="0.25">
      <c r="G454" s="3"/>
      <c r="H454" s="3"/>
      <c r="I454" s="3"/>
      <c r="J454" s="3"/>
    </row>
    <row r="455" spans="7:10" x14ac:dyDescent="0.25">
      <c r="G455" s="3"/>
      <c r="H455" s="3"/>
      <c r="I455" s="3"/>
      <c r="J455" s="3"/>
    </row>
    <row r="456" spans="7:10" x14ac:dyDescent="0.25">
      <c r="G456" s="3"/>
      <c r="H456" s="3"/>
      <c r="I456" s="3"/>
      <c r="J456" s="3"/>
    </row>
    <row r="457" spans="7:10" x14ac:dyDescent="0.25">
      <c r="G457" s="3"/>
      <c r="H457" s="3"/>
      <c r="I457" s="3"/>
      <c r="J457" s="3"/>
    </row>
    <row r="458" spans="7:10" x14ac:dyDescent="0.25">
      <c r="G458" s="3"/>
      <c r="H458" s="3"/>
      <c r="I458" s="3"/>
      <c r="J458" s="3"/>
    </row>
    <row r="459" spans="7:10" x14ac:dyDescent="0.25">
      <c r="G459" s="3"/>
      <c r="H459" s="3"/>
      <c r="I459" s="3"/>
      <c r="J459" s="3"/>
    </row>
    <row r="460" spans="7:10" x14ac:dyDescent="0.25">
      <c r="G460" s="3"/>
      <c r="H460" s="3"/>
      <c r="I460" s="3"/>
      <c r="J460" s="3"/>
    </row>
    <row r="461" spans="7:10" x14ac:dyDescent="0.25">
      <c r="G461" s="3"/>
      <c r="H461" s="3"/>
      <c r="I461" s="3"/>
      <c r="J461" s="3"/>
    </row>
    <row r="462" spans="7:10" x14ac:dyDescent="0.25">
      <c r="G462" s="3"/>
      <c r="H462" s="3"/>
      <c r="I462" s="3"/>
      <c r="J462" s="3"/>
    </row>
    <row r="463" spans="7:10" x14ac:dyDescent="0.25">
      <c r="G463" s="3"/>
      <c r="H463" s="3"/>
      <c r="I463" s="3"/>
      <c r="J463" s="3"/>
    </row>
    <row r="464" spans="7:10" x14ac:dyDescent="0.25">
      <c r="G464" s="3"/>
      <c r="H464" s="3"/>
      <c r="I464" s="3"/>
      <c r="J464" s="3"/>
    </row>
    <row r="465" spans="7:10" x14ac:dyDescent="0.25">
      <c r="G465" s="3"/>
      <c r="H465" s="3"/>
      <c r="I465" s="3"/>
      <c r="J465" s="3"/>
    </row>
    <row r="466" spans="7:10" x14ac:dyDescent="0.25">
      <c r="G466" s="3"/>
      <c r="H466" s="3"/>
      <c r="I466" s="3"/>
      <c r="J466" s="3"/>
    </row>
    <row r="467" spans="7:10" x14ac:dyDescent="0.25">
      <c r="G467" s="3"/>
      <c r="H467" s="3"/>
      <c r="I467" s="3"/>
      <c r="J467" s="3"/>
    </row>
    <row r="468" spans="7:10" x14ac:dyDescent="0.25">
      <c r="G468" s="3"/>
      <c r="H468" s="3"/>
      <c r="I468" s="3"/>
      <c r="J468" s="3"/>
    </row>
    <row r="469" spans="7:10" x14ac:dyDescent="0.25">
      <c r="G469" s="3"/>
      <c r="H469" s="3"/>
      <c r="I469" s="3"/>
      <c r="J469" s="3"/>
    </row>
    <row r="470" spans="7:10" x14ac:dyDescent="0.25">
      <c r="G470" s="3"/>
      <c r="H470" s="3"/>
      <c r="I470" s="3"/>
      <c r="J470" s="3"/>
    </row>
    <row r="471" spans="7:10" x14ac:dyDescent="0.25">
      <c r="G471" s="3"/>
      <c r="H471" s="3"/>
      <c r="I471" s="3"/>
      <c r="J471" s="3"/>
    </row>
    <row r="472" spans="7:10" x14ac:dyDescent="0.25">
      <c r="G472" s="3"/>
      <c r="H472" s="3"/>
      <c r="I472" s="3"/>
      <c r="J472" s="3"/>
    </row>
    <row r="473" spans="7:10" x14ac:dyDescent="0.25">
      <c r="G473" s="3"/>
      <c r="H473" s="3"/>
      <c r="I473" s="3"/>
      <c r="J473" s="3"/>
    </row>
    <row r="474" spans="7:10" x14ac:dyDescent="0.25">
      <c r="G474" s="3"/>
      <c r="H474" s="3"/>
      <c r="I474" s="3"/>
      <c r="J474" s="3"/>
    </row>
    <row r="475" spans="7:10" x14ac:dyDescent="0.25">
      <c r="G475" s="3"/>
      <c r="H475" s="3"/>
      <c r="I475" s="3"/>
      <c r="J475" s="3"/>
    </row>
    <row r="476" spans="7:10" x14ac:dyDescent="0.25">
      <c r="G476" s="3"/>
      <c r="H476" s="3"/>
      <c r="I476" s="3"/>
      <c r="J476" s="3"/>
    </row>
    <row r="477" spans="7:10" x14ac:dyDescent="0.25">
      <c r="G477" s="3"/>
      <c r="H477" s="3"/>
      <c r="I477" s="3"/>
      <c r="J477" s="3"/>
    </row>
    <row r="478" spans="7:10" x14ac:dyDescent="0.25">
      <c r="G478" s="3"/>
      <c r="H478" s="3"/>
      <c r="I478" s="3"/>
      <c r="J478" s="3"/>
    </row>
    <row r="479" spans="7:10" x14ac:dyDescent="0.25">
      <c r="G479" s="3"/>
      <c r="H479" s="3"/>
      <c r="I479" s="3"/>
      <c r="J479" s="3"/>
    </row>
    <row r="480" spans="7:10" x14ac:dyDescent="0.25">
      <c r="G480" s="3"/>
      <c r="H480" s="3"/>
      <c r="I480" s="3"/>
      <c r="J480" s="3"/>
    </row>
    <row r="481" spans="7:10" x14ac:dyDescent="0.25">
      <c r="G481" s="3"/>
      <c r="H481" s="3"/>
      <c r="I481" s="3"/>
      <c r="J481" s="3"/>
    </row>
    <row r="482" spans="7:10" x14ac:dyDescent="0.25">
      <c r="G482" s="3"/>
      <c r="H482" s="3"/>
      <c r="I482" s="3"/>
      <c r="J482" s="3"/>
    </row>
    <row r="483" spans="7:10" x14ac:dyDescent="0.25">
      <c r="G483" s="3"/>
      <c r="H483" s="3"/>
      <c r="I483" s="3"/>
      <c r="J483" s="3"/>
    </row>
    <row r="484" spans="7:10" x14ac:dyDescent="0.25">
      <c r="G484" s="3"/>
      <c r="H484" s="3"/>
      <c r="I484" s="3"/>
      <c r="J484" s="3"/>
    </row>
    <row r="485" spans="7:10" x14ac:dyDescent="0.25">
      <c r="G485" s="3"/>
      <c r="H485" s="3"/>
      <c r="I485" s="3"/>
      <c r="J485" s="3"/>
    </row>
    <row r="486" spans="7:10" x14ac:dyDescent="0.25">
      <c r="G486" s="3"/>
      <c r="H486" s="3"/>
      <c r="I486" s="3"/>
      <c r="J486" s="3"/>
    </row>
    <row r="487" spans="7:10" x14ac:dyDescent="0.25">
      <c r="G487" s="3"/>
      <c r="H487" s="3"/>
      <c r="I487" s="3"/>
      <c r="J487" s="3"/>
    </row>
    <row r="488" spans="7:10" x14ac:dyDescent="0.25">
      <c r="G488" s="3"/>
      <c r="H488" s="3"/>
      <c r="I488" s="3"/>
      <c r="J488" s="3"/>
    </row>
    <row r="489" spans="7:10" x14ac:dyDescent="0.25">
      <c r="G489" s="3"/>
      <c r="H489" s="3"/>
      <c r="I489" s="3"/>
      <c r="J489" s="3"/>
    </row>
    <row r="490" spans="7:10" x14ac:dyDescent="0.25">
      <c r="G490" s="3"/>
      <c r="H490" s="3"/>
      <c r="I490" s="3"/>
      <c r="J490" s="3"/>
    </row>
    <row r="491" spans="7:10" x14ac:dyDescent="0.25">
      <c r="G491" s="3"/>
      <c r="H491" s="3"/>
      <c r="I491" s="3"/>
      <c r="J491" s="3"/>
    </row>
    <row r="492" spans="7:10" x14ac:dyDescent="0.25">
      <c r="G492" s="3"/>
      <c r="H492" s="3"/>
      <c r="I492" s="3"/>
      <c r="J492" s="3"/>
    </row>
    <row r="493" spans="7:10" x14ac:dyDescent="0.25">
      <c r="G493" s="3"/>
      <c r="H493" s="3"/>
      <c r="I493" s="3"/>
      <c r="J493" s="3"/>
    </row>
    <row r="494" spans="7:10" x14ac:dyDescent="0.25">
      <c r="G494" s="3"/>
      <c r="H494" s="3"/>
      <c r="I494" s="3"/>
      <c r="J494" s="3"/>
    </row>
    <row r="495" spans="7:10" x14ac:dyDescent="0.25">
      <c r="G495" s="3"/>
      <c r="H495" s="3"/>
      <c r="I495" s="3"/>
      <c r="J495" s="3"/>
    </row>
    <row r="496" spans="7:10" x14ac:dyDescent="0.25">
      <c r="G496" s="3"/>
      <c r="H496" s="3"/>
      <c r="I496" s="3"/>
      <c r="J496" s="3"/>
    </row>
    <row r="497" spans="7:10" x14ac:dyDescent="0.25">
      <c r="G497" s="3"/>
      <c r="H497" s="3"/>
      <c r="I497" s="3"/>
      <c r="J497" s="3"/>
    </row>
    <row r="498" spans="7:10" x14ac:dyDescent="0.25">
      <c r="G498" s="3"/>
      <c r="H498" s="3"/>
      <c r="I498" s="3"/>
      <c r="J498" s="3"/>
    </row>
    <row r="499" spans="7:10" x14ac:dyDescent="0.25">
      <c r="G499" s="3"/>
      <c r="H499" s="3"/>
      <c r="I499" s="3"/>
      <c r="J499" s="3"/>
    </row>
    <row r="500" spans="7:10" x14ac:dyDescent="0.25">
      <c r="G500" s="3"/>
      <c r="H500" s="3"/>
      <c r="I500" s="3"/>
      <c r="J500" s="3"/>
    </row>
    <row r="501" spans="7:10" x14ac:dyDescent="0.25">
      <c r="G501" s="3"/>
      <c r="H501" s="3"/>
      <c r="I501" s="3"/>
      <c r="J501" s="3"/>
    </row>
    <row r="502" spans="7:10" x14ac:dyDescent="0.25">
      <c r="G502" s="3"/>
      <c r="H502" s="3"/>
      <c r="I502" s="3"/>
      <c r="J502" s="3"/>
    </row>
    <row r="503" spans="7:10" x14ac:dyDescent="0.25">
      <c r="G503" s="3"/>
      <c r="H503" s="3"/>
      <c r="I503" s="3"/>
      <c r="J503" s="3"/>
    </row>
    <row r="504" spans="7:10" x14ac:dyDescent="0.25">
      <c r="G504" s="3"/>
      <c r="H504" s="3"/>
      <c r="I504" s="3"/>
      <c r="J504" s="3"/>
    </row>
    <row r="505" spans="7:10" x14ac:dyDescent="0.25">
      <c r="G505" s="3"/>
      <c r="H505" s="3"/>
      <c r="I505" s="3"/>
      <c r="J505" s="3"/>
    </row>
    <row r="506" spans="7:10" x14ac:dyDescent="0.25">
      <c r="G506" s="3"/>
      <c r="H506" s="3"/>
      <c r="I506" s="3"/>
      <c r="J506" s="3"/>
    </row>
    <row r="507" spans="7:10" x14ac:dyDescent="0.25">
      <c r="G507" s="3"/>
      <c r="H507" s="3"/>
      <c r="I507" s="3"/>
      <c r="J507" s="3"/>
    </row>
    <row r="508" spans="7:10" x14ac:dyDescent="0.25">
      <c r="G508" s="3"/>
      <c r="H508" s="3"/>
      <c r="I508" s="3"/>
      <c r="J508" s="3"/>
    </row>
    <row r="509" spans="7:10" x14ac:dyDescent="0.25">
      <c r="G509" s="3"/>
      <c r="H509" s="3"/>
      <c r="I509" s="3"/>
      <c r="J509" s="3"/>
    </row>
    <row r="510" spans="7:10" x14ac:dyDescent="0.25">
      <c r="G510" s="3"/>
      <c r="H510" s="3"/>
      <c r="I510" s="3"/>
      <c r="J510" s="3"/>
    </row>
    <row r="511" spans="7:10" x14ac:dyDescent="0.25">
      <c r="G511" s="3"/>
      <c r="H511" s="3"/>
      <c r="I511" s="3"/>
      <c r="J511" s="3"/>
    </row>
    <row r="512" spans="7:10" x14ac:dyDescent="0.25">
      <c r="G512" s="3"/>
      <c r="H512" s="3"/>
      <c r="I512" s="3"/>
      <c r="J512" s="3"/>
    </row>
    <row r="513" spans="7:10" x14ac:dyDescent="0.25">
      <c r="G513" s="3"/>
      <c r="H513" s="3"/>
      <c r="I513" s="3"/>
      <c r="J513" s="3"/>
    </row>
    <row r="514" spans="7:10" x14ac:dyDescent="0.25">
      <c r="G514" s="3"/>
      <c r="H514" s="3"/>
      <c r="I514" s="3"/>
      <c r="J514" s="3"/>
    </row>
    <row r="515" spans="7:10" x14ac:dyDescent="0.25">
      <c r="G515" s="3"/>
      <c r="H515" s="3"/>
      <c r="I515" s="3"/>
      <c r="J515" s="3"/>
    </row>
    <row r="516" spans="7:10" x14ac:dyDescent="0.25">
      <c r="G516" s="3"/>
      <c r="H516" s="3"/>
      <c r="I516" s="3"/>
      <c r="J516" s="3"/>
    </row>
    <row r="517" spans="7:10" x14ac:dyDescent="0.25">
      <c r="G517" s="3"/>
      <c r="H517" s="3"/>
      <c r="I517" s="3"/>
      <c r="J517" s="3"/>
    </row>
    <row r="518" spans="7:10" x14ac:dyDescent="0.25">
      <c r="G518" s="3"/>
      <c r="H518" s="3"/>
      <c r="I518" s="3"/>
      <c r="J518" s="3"/>
    </row>
    <row r="519" spans="7:10" x14ac:dyDescent="0.25">
      <c r="G519" s="3"/>
      <c r="H519" s="3"/>
      <c r="I519" s="3"/>
      <c r="J519" s="3"/>
    </row>
    <row r="520" spans="7:10" x14ac:dyDescent="0.25">
      <c r="G520" s="3"/>
      <c r="H520" s="3"/>
      <c r="I520" s="3"/>
      <c r="J520" s="3"/>
    </row>
    <row r="521" spans="7:10" x14ac:dyDescent="0.25">
      <c r="G521" s="3"/>
      <c r="H521" s="3"/>
      <c r="I521" s="3"/>
      <c r="J521" s="3"/>
    </row>
    <row r="522" spans="7:10" x14ac:dyDescent="0.25">
      <c r="G522" s="3"/>
      <c r="H522" s="3"/>
      <c r="I522" s="3"/>
      <c r="J522" s="3"/>
    </row>
    <row r="523" spans="7:10" x14ac:dyDescent="0.25">
      <c r="G523" s="3"/>
      <c r="H523" s="3"/>
      <c r="I523" s="3"/>
      <c r="J523" s="3"/>
    </row>
    <row r="524" spans="7:10" x14ac:dyDescent="0.25">
      <c r="G524" s="3"/>
      <c r="H524" s="3"/>
      <c r="I524" s="3"/>
      <c r="J524" s="3"/>
    </row>
    <row r="525" spans="7:10" x14ac:dyDescent="0.25">
      <c r="G525" s="3"/>
      <c r="H525" s="3"/>
      <c r="I525" s="3"/>
      <c r="J525" s="3"/>
    </row>
    <row r="526" spans="7:10" x14ac:dyDescent="0.25">
      <c r="G526" s="3"/>
      <c r="H526" s="3"/>
      <c r="I526" s="3"/>
      <c r="J526" s="3"/>
    </row>
    <row r="527" spans="7:10" x14ac:dyDescent="0.25">
      <c r="G527" s="3"/>
      <c r="H527" s="3"/>
      <c r="I527" s="3"/>
      <c r="J527" s="3"/>
    </row>
    <row r="528" spans="7:10" x14ac:dyDescent="0.25">
      <c r="G528" s="3"/>
      <c r="H528" s="3"/>
      <c r="I528" s="3"/>
      <c r="J528" s="3"/>
    </row>
    <row r="529" spans="7:10" x14ac:dyDescent="0.25">
      <c r="G529" s="3"/>
      <c r="H529" s="3"/>
      <c r="I529" s="3"/>
      <c r="J529" s="3"/>
    </row>
    <row r="530" spans="7:10" x14ac:dyDescent="0.25">
      <c r="G530" s="3"/>
      <c r="H530" s="3"/>
      <c r="I530" s="3"/>
      <c r="J530" s="3"/>
    </row>
    <row r="531" spans="7:10" x14ac:dyDescent="0.25">
      <c r="G531" s="3"/>
      <c r="H531" s="3"/>
      <c r="I531" s="3"/>
      <c r="J531" s="3"/>
    </row>
    <row r="532" spans="7:10" x14ac:dyDescent="0.25">
      <c r="G532" s="3"/>
      <c r="H532" s="3"/>
      <c r="I532" s="3"/>
      <c r="J532" s="3"/>
    </row>
    <row r="533" spans="7:10" x14ac:dyDescent="0.25">
      <c r="G533" s="3"/>
      <c r="H533" s="3"/>
      <c r="I533" s="3"/>
      <c r="J533" s="3"/>
    </row>
    <row r="534" spans="7:10" x14ac:dyDescent="0.25">
      <c r="G534" s="3"/>
      <c r="H534" s="3"/>
      <c r="I534" s="3"/>
      <c r="J534" s="3"/>
    </row>
    <row r="535" spans="7:10" x14ac:dyDescent="0.25">
      <c r="G535" s="3"/>
      <c r="H535" s="3"/>
      <c r="I535" s="3"/>
      <c r="J535" s="3"/>
    </row>
    <row r="536" spans="7:10" x14ac:dyDescent="0.25">
      <c r="G536" s="3"/>
      <c r="H536" s="3"/>
      <c r="I536" s="3"/>
      <c r="J536" s="3"/>
    </row>
    <row r="537" spans="7:10" x14ac:dyDescent="0.25">
      <c r="G537" s="3"/>
      <c r="H537" s="3"/>
      <c r="I537" s="3"/>
      <c r="J537" s="3"/>
    </row>
    <row r="538" spans="7:10" x14ac:dyDescent="0.25">
      <c r="G538" s="3"/>
      <c r="H538" s="3"/>
      <c r="I538" s="3"/>
      <c r="J538" s="3"/>
    </row>
    <row r="539" spans="7:10" x14ac:dyDescent="0.25">
      <c r="G539" s="3"/>
      <c r="H539" s="3"/>
      <c r="I539" s="3"/>
      <c r="J539" s="3"/>
    </row>
    <row r="540" spans="7:10" x14ac:dyDescent="0.25">
      <c r="G540" s="3"/>
      <c r="H540" s="3"/>
      <c r="I540" s="3"/>
      <c r="J540" s="3"/>
    </row>
    <row r="541" spans="7:10" x14ac:dyDescent="0.25">
      <c r="G541" s="3"/>
      <c r="H541" s="3"/>
      <c r="I541" s="3"/>
      <c r="J541" s="3"/>
    </row>
    <row r="542" spans="7:10" x14ac:dyDescent="0.25">
      <c r="G542" s="3"/>
      <c r="H542" s="3"/>
      <c r="I542" s="3"/>
      <c r="J542" s="3"/>
    </row>
    <row r="543" spans="7:10" x14ac:dyDescent="0.25">
      <c r="G543" s="3"/>
      <c r="H543" s="3"/>
      <c r="I543" s="3"/>
      <c r="J543" s="3"/>
    </row>
    <row r="544" spans="7:10" x14ac:dyDescent="0.25">
      <c r="G544" s="3"/>
      <c r="H544" s="3"/>
      <c r="I544" s="3"/>
      <c r="J544" s="3"/>
    </row>
    <row r="545" spans="7:10" x14ac:dyDescent="0.25">
      <c r="G545" s="3"/>
      <c r="H545" s="3"/>
      <c r="I545" s="3"/>
      <c r="J545" s="3"/>
    </row>
    <row r="546" spans="7:10" x14ac:dyDescent="0.25">
      <c r="G546" s="3"/>
      <c r="H546" s="3"/>
      <c r="I546" s="3"/>
      <c r="J546" s="3"/>
    </row>
    <row r="547" spans="7:10" x14ac:dyDescent="0.25">
      <c r="G547" s="3"/>
      <c r="H547" s="3"/>
      <c r="I547" s="3"/>
      <c r="J547" s="3"/>
    </row>
    <row r="548" spans="7:10" x14ac:dyDescent="0.25">
      <c r="G548" s="3"/>
      <c r="H548" s="3"/>
      <c r="I548" s="3"/>
      <c r="J548" s="3"/>
    </row>
    <row r="549" spans="7:10" x14ac:dyDescent="0.25">
      <c r="G549" s="3"/>
      <c r="H549" s="3"/>
      <c r="I549" s="3"/>
      <c r="J549" s="3"/>
    </row>
    <row r="550" spans="7:10" x14ac:dyDescent="0.25">
      <c r="G550" s="3"/>
      <c r="H550" s="3"/>
      <c r="I550" s="3"/>
      <c r="J550" s="3"/>
    </row>
    <row r="551" spans="7:10" x14ac:dyDescent="0.25">
      <c r="G551" s="3"/>
      <c r="H551" s="3"/>
      <c r="I551" s="3"/>
      <c r="J551" s="3"/>
    </row>
    <row r="552" spans="7:10" x14ac:dyDescent="0.25">
      <c r="G552" s="3"/>
      <c r="H552" s="3"/>
      <c r="I552" s="3"/>
      <c r="J552" s="3"/>
    </row>
    <row r="553" spans="7:10" x14ac:dyDescent="0.25">
      <c r="G553" s="3"/>
      <c r="H553" s="3"/>
      <c r="I553" s="3"/>
      <c r="J553" s="3"/>
    </row>
    <row r="554" spans="7:10" x14ac:dyDescent="0.25">
      <c r="G554" s="3"/>
      <c r="H554" s="3"/>
      <c r="I554" s="3"/>
      <c r="J554" s="3"/>
    </row>
    <row r="555" spans="7:10" x14ac:dyDescent="0.25">
      <c r="G555" s="3"/>
      <c r="H555" s="3"/>
      <c r="I555" s="3"/>
      <c r="J555" s="3"/>
    </row>
    <row r="556" spans="7:10" x14ac:dyDescent="0.25">
      <c r="G556" s="3"/>
      <c r="H556" s="3"/>
      <c r="I556" s="3"/>
      <c r="J556" s="3"/>
    </row>
    <row r="557" spans="7:10" x14ac:dyDescent="0.25">
      <c r="G557" s="3"/>
      <c r="H557" s="3"/>
      <c r="I557" s="3"/>
      <c r="J557" s="3"/>
    </row>
    <row r="558" spans="7:10" x14ac:dyDescent="0.25">
      <c r="G558" s="3"/>
      <c r="H558" s="3"/>
      <c r="I558" s="3"/>
      <c r="J558" s="3"/>
    </row>
    <row r="559" spans="7:10" x14ac:dyDescent="0.25">
      <c r="G559" s="3"/>
      <c r="H559" s="3"/>
      <c r="I559" s="3"/>
      <c r="J559" s="3"/>
    </row>
    <row r="560" spans="7:10" x14ac:dyDescent="0.25">
      <c r="G560" s="3"/>
      <c r="H560" s="3"/>
      <c r="I560" s="3"/>
      <c r="J560" s="3"/>
    </row>
    <row r="561" spans="7:10" x14ac:dyDescent="0.25">
      <c r="G561" s="3"/>
      <c r="H561" s="3"/>
      <c r="I561" s="3"/>
      <c r="J561" s="3"/>
    </row>
    <row r="562" spans="7:10" x14ac:dyDescent="0.25">
      <c r="G562" s="3"/>
      <c r="H562" s="3"/>
      <c r="I562" s="3"/>
      <c r="J562" s="3"/>
    </row>
    <row r="563" spans="7:10" x14ac:dyDescent="0.25">
      <c r="G563" s="3"/>
      <c r="H563" s="3"/>
      <c r="I563" s="3"/>
      <c r="J563" s="3"/>
    </row>
    <row r="564" spans="7:10" x14ac:dyDescent="0.25">
      <c r="G564" s="3"/>
      <c r="H564" s="3"/>
      <c r="I564" s="3"/>
      <c r="J564" s="3"/>
    </row>
    <row r="565" spans="7:10" x14ac:dyDescent="0.25">
      <c r="G565" s="3"/>
      <c r="H565" s="3"/>
      <c r="I565" s="3"/>
      <c r="J565" s="3"/>
    </row>
    <row r="566" spans="7:10" x14ac:dyDescent="0.25">
      <c r="G566" s="3"/>
      <c r="H566" s="3"/>
      <c r="I566" s="3"/>
      <c r="J566" s="3"/>
    </row>
    <row r="567" spans="7:10" x14ac:dyDescent="0.25">
      <c r="G567" s="3"/>
      <c r="H567" s="3"/>
      <c r="I567" s="3"/>
      <c r="J567" s="3"/>
    </row>
    <row r="568" spans="7:10" x14ac:dyDescent="0.25">
      <c r="G568" s="3"/>
      <c r="H568" s="3"/>
      <c r="I568" s="3"/>
      <c r="J568" s="3"/>
    </row>
    <row r="569" spans="7:10" x14ac:dyDescent="0.25">
      <c r="G569" s="3"/>
      <c r="H569" s="3"/>
      <c r="I569" s="3"/>
      <c r="J569" s="3"/>
    </row>
    <row r="570" spans="7:10" x14ac:dyDescent="0.25">
      <c r="G570" s="3"/>
      <c r="H570" s="3"/>
      <c r="I570" s="3"/>
      <c r="J570" s="3"/>
    </row>
    <row r="571" spans="7:10" x14ac:dyDescent="0.25">
      <c r="G571" s="3"/>
      <c r="H571" s="3"/>
      <c r="I571" s="3"/>
      <c r="J571" s="3"/>
    </row>
    <row r="572" spans="7:10" x14ac:dyDescent="0.25">
      <c r="G572" s="3"/>
      <c r="H572" s="3"/>
      <c r="I572" s="3"/>
      <c r="J572" s="3"/>
    </row>
    <row r="573" spans="7:10" x14ac:dyDescent="0.25">
      <c r="G573" s="3"/>
      <c r="H573" s="3"/>
      <c r="I573" s="3"/>
      <c r="J573" s="3"/>
    </row>
    <row r="574" spans="7:10" x14ac:dyDescent="0.25">
      <c r="G574" s="3"/>
      <c r="H574" s="3"/>
      <c r="I574" s="3"/>
      <c r="J574" s="3"/>
    </row>
    <row r="575" spans="7:10" x14ac:dyDescent="0.25">
      <c r="G575" s="3"/>
      <c r="H575" s="3"/>
      <c r="I575" s="3"/>
      <c r="J575" s="3"/>
    </row>
    <row r="576" spans="7:10" x14ac:dyDescent="0.25">
      <c r="G576" s="3"/>
      <c r="H576" s="3"/>
      <c r="I576" s="3"/>
      <c r="J576" s="3"/>
    </row>
    <row r="577" spans="7:10" x14ac:dyDescent="0.25">
      <c r="G577" s="3"/>
      <c r="H577" s="3"/>
      <c r="I577" s="3"/>
      <c r="J577" s="3"/>
    </row>
    <row r="578" spans="7:10" x14ac:dyDescent="0.25">
      <c r="G578" s="3"/>
      <c r="H578" s="3"/>
      <c r="I578" s="3"/>
      <c r="J578" s="3"/>
    </row>
    <row r="579" spans="7:10" x14ac:dyDescent="0.25">
      <c r="G579" s="3"/>
      <c r="H579" s="3"/>
      <c r="I579" s="3"/>
      <c r="J579" s="3"/>
    </row>
    <row r="580" spans="7:10" x14ac:dyDescent="0.25">
      <c r="G580" s="3"/>
      <c r="H580" s="3"/>
      <c r="I580" s="3"/>
      <c r="J580" s="3"/>
    </row>
    <row r="581" spans="7:10" x14ac:dyDescent="0.25">
      <c r="G581" s="3"/>
      <c r="H581" s="3"/>
      <c r="I581" s="3"/>
      <c r="J581" s="3"/>
    </row>
    <row r="582" spans="7:10" x14ac:dyDescent="0.25">
      <c r="G582" s="3"/>
      <c r="H582" s="3"/>
      <c r="I582" s="3"/>
      <c r="J582" s="3"/>
    </row>
    <row r="583" spans="7:10" x14ac:dyDescent="0.25">
      <c r="G583" s="3"/>
      <c r="H583" s="3"/>
      <c r="I583" s="3"/>
      <c r="J583" s="3"/>
    </row>
    <row r="584" spans="7:10" x14ac:dyDescent="0.25">
      <c r="G584" s="3"/>
      <c r="H584" s="3"/>
      <c r="I584" s="3"/>
      <c r="J584" s="3"/>
    </row>
    <row r="585" spans="7:10" x14ac:dyDescent="0.25">
      <c r="G585" s="3"/>
      <c r="H585" s="3"/>
      <c r="I585" s="3"/>
      <c r="J585" s="3"/>
    </row>
    <row r="586" spans="7:10" x14ac:dyDescent="0.25">
      <c r="G586" s="3"/>
      <c r="H586" s="3"/>
      <c r="I586" s="3"/>
      <c r="J586" s="3"/>
    </row>
    <row r="587" spans="7:10" x14ac:dyDescent="0.25">
      <c r="G587" s="3"/>
      <c r="H587" s="3"/>
      <c r="I587" s="3"/>
      <c r="J587" s="3"/>
    </row>
    <row r="588" spans="7:10" x14ac:dyDescent="0.25">
      <c r="G588" s="3"/>
      <c r="H588" s="3"/>
      <c r="I588" s="3"/>
      <c r="J588" s="3"/>
    </row>
    <row r="589" spans="7:10" x14ac:dyDescent="0.25">
      <c r="G589" s="3"/>
      <c r="H589" s="3"/>
      <c r="I589" s="3"/>
      <c r="J589" s="3"/>
    </row>
    <row r="590" spans="7:10" x14ac:dyDescent="0.25">
      <c r="G590" s="3"/>
      <c r="H590" s="3"/>
      <c r="I590" s="3"/>
      <c r="J590" s="3"/>
    </row>
    <row r="591" spans="7:10" x14ac:dyDescent="0.25">
      <c r="G591" s="3"/>
      <c r="H591" s="3"/>
      <c r="I591" s="3"/>
      <c r="J591" s="3"/>
    </row>
    <row r="592" spans="7:10" x14ac:dyDescent="0.25">
      <c r="G592" s="3"/>
      <c r="H592" s="3"/>
      <c r="I592" s="3"/>
      <c r="J592" s="3"/>
    </row>
    <row r="593" spans="7:10" x14ac:dyDescent="0.25">
      <c r="G593" s="3"/>
      <c r="H593" s="3"/>
      <c r="I593" s="3"/>
      <c r="J593" s="3"/>
    </row>
    <row r="594" spans="7:10" x14ac:dyDescent="0.25">
      <c r="G594" s="3"/>
      <c r="H594" s="3"/>
      <c r="I594" s="3"/>
      <c r="J594" s="3"/>
    </row>
    <row r="595" spans="7:10" x14ac:dyDescent="0.25">
      <c r="G595" s="3"/>
      <c r="H595" s="3"/>
      <c r="I595" s="3"/>
      <c r="J595" s="3"/>
    </row>
    <row r="596" spans="7:10" x14ac:dyDescent="0.25">
      <c r="G596" s="3"/>
      <c r="H596" s="3"/>
      <c r="I596" s="3"/>
      <c r="J596" s="3"/>
    </row>
    <row r="597" spans="7:10" x14ac:dyDescent="0.25">
      <c r="G597" s="3"/>
      <c r="H597" s="3"/>
      <c r="I597" s="3"/>
      <c r="J597" s="3"/>
    </row>
    <row r="598" spans="7:10" x14ac:dyDescent="0.25">
      <c r="G598" s="3"/>
      <c r="H598" s="3"/>
      <c r="I598" s="3"/>
      <c r="J598" s="3"/>
    </row>
    <row r="599" spans="7:10" x14ac:dyDescent="0.25">
      <c r="G599" s="3"/>
      <c r="H599" s="3"/>
      <c r="I599" s="3"/>
      <c r="J599" s="3"/>
    </row>
    <row r="600" spans="7:10" x14ac:dyDescent="0.25">
      <c r="G600" s="3"/>
      <c r="H600" s="3"/>
      <c r="I600" s="3"/>
      <c r="J600" s="3"/>
    </row>
    <row r="601" spans="7:10" x14ac:dyDescent="0.25">
      <c r="G601" s="3"/>
      <c r="H601" s="3"/>
      <c r="I601" s="3"/>
      <c r="J601" s="3"/>
    </row>
    <row r="602" spans="7:10" x14ac:dyDescent="0.25">
      <c r="G602" s="3"/>
      <c r="H602" s="3"/>
      <c r="I602" s="3"/>
      <c r="J602" s="3"/>
    </row>
    <row r="603" spans="7:10" x14ac:dyDescent="0.25">
      <c r="G603" s="3"/>
      <c r="H603" s="3"/>
      <c r="I603" s="3"/>
      <c r="J603" s="3"/>
    </row>
    <row r="604" spans="7:10" x14ac:dyDescent="0.25">
      <c r="G604" s="3"/>
      <c r="H604" s="3"/>
      <c r="I604" s="3"/>
      <c r="J604" s="3"/>
    </row>
    <row r="605" spans="7:10" x14ac:dyDescent="0.25">
      <c r="G605" s="3"/>
      <c r="H605" s="3"/>
      <c r="I605" s="3"/>
      <c r="J605" s="3"/>
    </row>
    <row r="606" spans="7:10" x14ac:dyDescent="0.25">
      <c r="G606" s="3"/>
      <c r="H606" s="3"/>
      <c r="I606" s="3"/>
      <c r="J606" s="3"/>
    </row>
    <row r="607" spans="7:10" x14ac:dyDescent="0.25">
      <c r="G607" s="3"/>
      <c r="H607" s="3"/>
      <c r="I607" s="3"/>
      <c r="J607" s="3"/>
    </row>
    <row r="608" spans="7:10" x14ac:dyDescent="0.25">
      <c r="G608" s="3"/>
      <c r="H608" s="3"/>
      <c r="I608" s="3"/>
      <c r="J608" s="3"/>
    </row>
    <row r="609" spans="7:10" x14ac:dyDescent="0.25">
      <c r="G609" s="3"/>
      <c r="H609" s="3"/>
      <c r="I609" s="3"/>
      <c r="J609" s="3"/>
    </row>
    <row r="610" spans="7:10" x14ac:dyDescent="0.25">
      <c r="G610" s="3"/>
      <c r="H610" s="3"/>
      <c r="I610" s="3"/>
      <c r="J610" s="3"/>
    </row>
    <row r="611" spans="7:10" x14ac:dyDescent="0.25">
      <c r="G611" s="3"/>
      <c r="H611" s="3"/>
      <c r="I611" s="3"/>
      <c r="J611" s="3"/>
    </row>
    <row r="612" spans="7:10" x14ac:dyDescent="0.25">
      <c r="G612" s="3"/>
      <c r="H612" s="3"/>
      <c r="I612" s="3"/>
      <c r="J612" s="3"/>
    </row>
    <row r="613" spans="7:10" x14ac:dyDescent="0.25">
      <c r="G613" s="3"/>
      <c r="H613" s="3"/>
      <c r="I613" s="3"/>
      <c r="J613" s="3"/>
    </row>
    <row r="614" spans="7:10" x14ac:dyDescent="0.25">
      <c r="G614" s="3"/>
      <c r="H614" s="3"/>
      <c r="I614" s="3"/>
      <c r="J614" s="3"/>
    </row>
    <row r="615" spans="7:10" x14ac:dyDescent="0.25">
      <c r="G615" s="3"/>
      <c r="H615" s="3"/>
      <c r="I615" s="3"/>
      <c r="J615" s="3"/>
    </row>
    <row r="616" spans="7:10" x14ac:dyDescent="0.25">
      <c r="G616" s="3"/>
      <c r="H616" s="3"/>
      <c r="I616" s="3"/>
      <c r="J616" s="3"/>
    </row>
    <row r="617" spans="7:10" x14ac:dyDescent="0.25">
      <c r="G617" s="3"/>
      <c r="H617" s="3"/>
      <c r="I617" s="3"/>
      <c r="J617" s="3"/>
    </row>
    <row r="618" spans="7:10" x14ac:dyDescent="0.25">
      <c r="G618" s="3"/>
      <c r="H618" s="3"/>
      <c r="I618" s="3"/>
      <c r="J618" s="3"/>
    </row>
    <row r="619" spans="7:10" x14ac:dyDescent="0.25">
      <c r="G619" s="3"/>
      <c r="H619" s="3"/>
      <c r="I619" s="3"/>
      <c r="J619" s="3"/>
    </row>
    <row r="620" spans="7:10" x14ac:dyDescent="0.25">
      <c r="G620" s="3"/>
      <c r="H620" s="3"/>
      <c r="I620" s="3"/>
      <c r="J620" s="3"/>
    </row>
    <row r="621" spans="7:10" x14ac:dyDescent="0.25">
      <c r="G621" s="3"/>
      <c r="H621" s="3"/>
      <c r="I621" s="3"/>
      <c r="J621" s="3"/>
    </row>
    <row r="622" spans="7:10" x14ac:dyDescent="0.25">
      <c r="G622" s="3"/>
      <c r="H622" s="3"/>
      <c r="I622" s="3"/>
      <c r="J622" s="3"/>
    </row>
    <row r="623" spans="7:10" x14ac:dyDescent="0.25">
      <c r="G623" s="3"/>
      <c r="H623" s="3"/>
      <c r="I623" s="3"/>
      <c r="J623" s="3"/>
    </row>
    <row r="624" spans="7:10" x14ac:dyDescent="0.25">
      <c r="G624" s="3"/>
      <c r="H624" s="3"/>
      <c r="I624" s="3"/>
      <c r="J624" s="3"/>
    </row>
    <row r="625" spans="7:10" x14ac:dyDescent="0.25">
      <c r="G625" s="3"/>
      <c r="H625" s="3"/>
      <c r="I625" s="3"/>
      <c r="J625" s="3"/>
    </row>
    <row r="626" spans="7:10" x14ac:dyDescent="0.25">
      <c r="G626" s="3"/>
      <c r="H626" s="3"/>
      <c r="I626" s="3"/>
      <c r="J626" s="3"/>
    </row>
    <row r="627" spans="7:10" x14ac:dyDescent="0.25">
      <c r="G627" s="3"/>
      <c r="H627" s="3"/>
      <c r="I627" s="3"/>
      <c r="J627" s="3"/>
    </row>
    <row r="628" spans="7:10" x14ac:dyDescent="0.25">
      <c r="G628" s="3"/>
      <c r="H628" s="3"/>
      <c r="I628" s="3"/>
      <c r="J628" s="3"/>
    </row>
    <row r="629" spans="7:10" x14ac:dyDescent="0.25">
      <c r="G629" s="3"/>
      <c r="H629" s="3"/>
      <c r="I629" s="3"/>
      <c r="J629" s="3"/>
    </row>
    <row r="630" spans="7:10" x14ac:dyDescent="0.25">
      <c r="G630" s="3"/>
      <c r="H630" s="3"/>
      <c r="I630" s="3"/>
      <c r="J630" s="3"/>
    </row>
    <row r="631" spans="7:10" x14ac:dyDescent="0.25">
      <c r="G631" s="3"/>
      <c r="H631" s="3"/>
      <c r="I631" s="3"/>
      <c r="J631" s="3"/>
    </row>
    <row r="632" spans="7:10" x14ac:dyDescent="0.25">
      <c r="G632" s="3"/>
      <c r="H632" s="3"/>
      <c r="I632" s="3"/>
      <c r="J632" s="3"/>
    </row>
    <row r="633" spans="7:10" x14ac:dyDescent="0.25">
      <c r="G633" s="3"/>
      <c r="H633" s="3"/>
      <c r="I633" s="3"/>
      <c r="J633" s="3"/>
    </row>
  </sheetData>
  <pageMargins left="0.7" right="0.7" top="0.75" bottom="0.75" header="0.3" footer="0.3"/>
  <ignoredErrors>
    <ignoredError sqref="J54:J55 K72" 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DA70-F2F3-4F63-90EF-C52AA78D43A0}">
  <dimension ref="A1:N175"/>
  <sheetViews>
    <sheetView topLeftCell="A86" zoomScale="105" zoomScaleNormal="115" workbookViewId="0">
      <selection activeCell="M17" sqref="M17"/>
    </sheetView>
  </sheetViews>
  <sheetFormatPr defaultRowHeight="15" x14ac:dyDescent="0.25"/>
  <cols>
    <col min="1" max="5" width="2.42578125" customWidth="1"/>
    <col min="6" max="6" width="19.28515625" customWidth="1"/>
    <col min="7" max="8" width="10.7109375" customWidth="1"/>
  </cols>
  <sheetData>
    <row r="1" spans="1:11" ht="23.25" x14ac:dyDescent="0.35">
      <c r="A1" s="2" t="str">
        <f>+"Discount Cash Flow Model for "&amp;company.name</f>
        <v>Discount Cash Flow Model for Legends Inc.</v>
      </c>
    </row>
    <row r="2" spans="1:11" x14ac:dyDescent="0.25">
      <c r="B2" t="s">
        <v>103</v>
      </c>
    </row>
    <row r="3" spans="1:11" x14ac:dyDescent="0.25">
      <c r="C3" t="s">
        <v>104</v>
      </c>
      <c r="G3" s="42" cm="1">
        <f t="array" aca="1" ref="G3" ca="1">_FV(H3,"Price")</f>
        <v>24.75</v>
      </c>
      <c r="H3" t="e" vm="1">
        <v>#VALUE!</v>
      </c>
    </row>
    <row r="4" spans="1:11" x14ac:dyDescent="0.25">
      <c r="C4" t="s">
        <v>105</v>
      </c>
      <c r="G4" s="43" cm="1">
        <f t="array" aca="1" ref="G4" ca="1">+_FV(H3,"Shares outstanding",TRUE)/1000000</f>
        <v>1183.6559999999999</v>
      </c>
      <c r="H4" t="s">
        <v>152</v>
      </c>
    </row>
    <row r="5" spans="1:11" x14ac:dyDescent="0.25">
      <c r="C5" t="s">
        <v>106</v>
      </c>
      <c r="G5" s="44" cm="1">
        <f t="array" aca="1" ref="G5" ca="1">+_FV(H3,"Market cap",TRUE)/1000000000</f>
        <v>28.987719999999999</v>
      </c>
    </row>
    <row r="6" spans="1:11" x14ac:dyDescent="0.25">
      <c r="G6" s="45"/>
    </row>
    <row r="7" spans="1:11" x14ac:dyDescent="0.25">
      <c r="B7" t="s">
        <v>107</v>
      </c>
      <c r="G7" s="46" t="s">
        <v>108</v>
      </c>
      <c r="H7" s="46" t="s">
        <v>109</v>
      </c>
      <c r="I7" s="46" t="s">
        <v>110</v>
      </c>
    </row>
    <row r="8" spans="1:11" x14ac:dyDescent="0.25">
      <c r="C8" t="s">
        <v>94</v>
      </c>
      <c r="G8" s="47">
        <f>DCF.Debt</f>
        <v>5500</v>
      </c>
      <c r="H8" s="4">
        <f>+G8/$G$11</f>
        <v>0.31784032997647366</v>
      </c>
      <c r="I8" s="49">
        <f>(DCF.Interest.Expense/G8)*(100%-tax.rate)</f>
        <v>5.3181363636363638E-2</v>
      </c>
    </row>
    <row r="9" spans="1:11" x14ac:dyDescent="0.25">
      <c r="C9" t="s">
        <v>70</v>
      </c>
      <c r="G9" s="47">
        <f>+DCF.Pref.Stock</f>
        <v>1500</v>
      </c>
      <c r="H9" s="4">
        <f t="shared" ref="H9:H10" si="0">+G9/$G$11</f>
        <v>8.6683726357220089E-2</v>
      </c>
      <c r="I9" s="49">
        <v>7.8700000000000006E-2</v>
      </c>
    </row>
    <row r="10" spans="1:11" x14ac:dyDescent="0.25">
      <c r="C10" t="s">
        <v>111</v>
      </c>
      <c r="G10" s="47">
        <f>+DCF.Equity-G9</f>
        <v>10304.286087316566</v>
      </c>
      <c r="H10" s="4">
        <f t="shared" si="0"/>
        <v>0.59547594366630618</v>
      </c>
      <c r="I10" s="49">
        <v>0.1883</v>
      </c>
    </row>
    <row r="11" spans="1:11" x14ac:dyDescent="0.25">
      <c r="G11" s="50">
        <f>SUM(G8:G10)</f>
        <v>17304.286087316566</v>
      </c>
    </row>
    <row r="12" spans="1:11" x14ac:dyDescent="0.25">
      <c r="B12" t="s">
        <v>112</v>
      </c>
      <c r="G12" s="75">
        <f>SUMPRODUCT(H8:H10,I8:I10)</f>
        <v>0.13585331162345932</v>
      </c>
    </row>
    <row r="14" spans="1:11" x14ac:dyDescent="0.25">
      <c r="B14" t="s">
        <v>113</v>
      </c>
      <c r="G14" s="28" cm="1">
        <f t="array" ref="G14:K14">dates.fcst</f>
        <v>2025</v>
      </c>
      <c r="H14" s="28">
        <v>2026</v>
      </c>
      <c r="I14" s="28">
        <v>2027</v>
      </c>
      <c r="J14" s="28">
        <v>2028</v>
      </c>
      <c r="K14" s="28">
        <v>2029</v>
      </c>
    </row>
    <row r="15" spans="1:11" x14ac:dyDescent="0.25">
      <c r="C15" t="s">
        <v>114</v>
      </c>
      <c r="G15" s="48" cm="1">
        <f t="array" ref="G15:K15">+_xlfn.ANCHORARRAY(G17)-_xlfn.ANCHORARRAY(G16)</f>
        <v>7684.9184951543657</v>
      </c>
      <c r="H15" s="48">
        <v>7792.0700696914837</v>
      </c>
      <c r="I15" s="48">
        <v>8012.6201268392915</v>
      </c>
      <c r="J15" s="48">
        <v>8291.5061206489081</v>
      </c>
      <c r="K15" s="58">
        <v>8508.6504072618591</v>
      </c>
    </row>
    <row r="16" spans="1:11" x14ac:dyDescent="0.25">
      <c r="D16" t="s">
        <v>115</v>
      </c>
      <c r="G16" s="47" cm="1">
        <f t="array" ref="G16:K16">-p.f.depreciation.expense-p.f.amortization.expense</f>
        <v>-3476.6996626755363</v>
      </c>
      <c r="H16" s="47">
        <v>-3476.6996626755363</v>
      </c>
      <c r="I16" s="47">
        <v>-3476.6996626755363</v>
      </c>
      <c r="J16" s="47">
        <v>-3476.6996626755363</v>
      </c>
      <c r="K16" s="47">
        <v>-3476.6996626755363</v>
      </c>
    </row>
    <row r="17" spans="2:11" x14ac:dyDescent="0.25">
      <c r="C17" t="s">
        <v>116</v>
      </c>
      <c r="G17" s="51" cm="1">
        <f t="array" ref="G17:K17">F.EBIT</f>
        <v>4208.2188324788294</v>
      </c>
      <c r="H17" s="51">
        <v>4315.3704070159474</v>
      </c>
      <c r="I17" s="51">
        <v>4535.9204641637552</v>
      </c>
      <c r="J17" s="51">
        <v>4814.8064579733709</v>
      </c>
      <c r="K17" s="51">
        <v>5031.9507445863237</v>
      </c>
    </row>
    <row r="18" spans="2:11" x14ac:dyDescent="0.25">
      <c r="D18" t="s">
        <v>117</v>
      </c>
      <c r="G18" s="47" cm="1">
        <f t="array" ref="G18:K18">-_xlfn.ANCHORARRAY(G17)*tax.rate</f>
        <v>-883.72595482055419</v>
      </c>
      <c r="H18" s="47">
        <v>-906.22778547334894</v>
      </c>
      <c r="I18" s="47">
        <v>-952.54329747438851</v>
      </c>
      <c r="J18" s="47">
        <v>-1011.1093561744078</v>
      </c>
      <c r="K18" s="47">
        <v>-1056.709656363128</v>
      </c>
    </row>
    <row r="19" spans="2:11" x14ac:dyDescent="0.25">
      <c r="C19" t="s">
        <v>118</v>
      </c>
      <c r="G19" s="51" cm="1">
        <f t="array" ref="G19:K19">+_xlfn.ANCHORARRAY(G17)+_xlfn.ANCHORARRAY(G18)</f>
        <v>3324.4928776582751</v>
      </c>
      <c r="H19" s="51">
        <v>3409.1426215425986</v>
      </c>
      <c r="I19" s="51">
        <v>3583.3771666893667</v>
      </c>
      <c r="J19" s="51">
        <v>3803.6971017989631</v>
      </c>
      <c r="K19" s="51">
        <v>3975.2410882231957</v>
      </c>
    </row>
    <row r="20" spans="2:11" x14ac:dyDescent="0.25">
      <c r="D20" t="s">
        <v>119</v>
      </c>
      <c r="G20" s="47" cm="1">
        <f t="array" ref="G20:K20">-_xlfn.ANCHORARRAY(G16)</f>
        <v>3476.6996626755363</v>
      </c>
      <c r="H20" s="47">
        <v>3476.6996626755363</v>
      </c>
      <c r="I20" s="47">
        <v>3476.6996626755363</v>
      </c>
      <c r="J20" s="47">
        <v>3476.6996626755363</v>
      </c>
      <c r="K20" s="47">
        <v>3476.6996626755363</v>
      </c>
    </row>
    <row r="21" spans="2:11" x14ac:dyDescent="0.25">
      <c r="D21" t="s">
        <v>80</v>
      </c>
      <c r="G21" s="47">
        <f>+SUM('Financial Statements'!K96:K100)</f>
        <v>103.760860354123</v>
      </c>
      <c r="H21" s="47">
        <f>+SUM('Financial Statements'!L96:L100)</f>
        <v>-37.265311300651774</v>
      </c>
      <c r="I21" s="47">
        <f>+SUM('Financial Statements'!M96:M100)</f>
        <v>124.15692833142134</v>
      </c>
      <c r="J21" s="47">
        <f>+SUM('Financial Statements'!N96:N100)</f>
        <v>-34.468438414073717</v>
      </c>
      <c r="K21" s="47">
        <f>+SUM('Financial Statements'!O96:O100)</f>
        <v>137.95621789639767</v>
      </c>
    </row>
    <row r="22" spans="2:11" x14ac:dyDescent="0.25">
      <c r="C22" t="s">
        <v>120</v>
      </c>
      <c r="G22" s="51">
        <f>SUM(G19:G21)</f>
        <v>6904.9534006879348</v>
      </c>
      <c r="H22" s="51">
        <f t="shared" ref="H22:K22" si="1">SUM(H19:H21)</f>
        <v>6848.5769729174835</v>
      </c>
      <c r="I22" s="51">
        <f t="shared" si="1"/>
        <v>7184.2337576963246</v>
      </c>
      <c r="J22" s="51">
        <f t="shared" si="1"/>
        <v>7245.9283260604252</v>
      </c>
      <c r="K22" s="51">
        <f t="shared" si="1"/>
        <v>7589.8969687951294</v>
      </c>
    </row>
    <row r="23" spans="2:11" x14ac:dyDescent="0.25">
      <c r="D23" t="s">
        <v>121</v>
      </c>
      <c r="G23" s="47" cm="1">
        <f t="array" ref="G23:K23">-p.f.capex</f>
        <v>-1750</v>
      </c>
      <c r="H23" s="47">
        <v>-1750</v>
      </c>
      <c r="I23" s="47">
        <v>-1500</v>
      </c>
      <c r="J23" s="47">
        <v>-1500</v>
      </c>
      <c r="K23" s="47">
        <v>-1500</v>
      </c>
    </row>
    <row r="24" spans="2:11" x14ac:dyDescent="0.25">
      <c r="C24" t="s">
        <v>122</v>
      </c>
      <c r="G24" s="51" cm="1">
        <f t="array" ref="G24:K24">+G22:K22+_xlfn.ANCHORARRAY(G23)</f>
        <v>5154.9534006879348</v>
      </c>
      <c r="H24" s="51">
        <v>5098.5769729174835</v>
      </c>
      <c r="I24" s="51">
        <v>5684.2337576963246</v>
      </c>
      <c r="J24" s="51">
        <v>5745.9283260604252</v>
      </c>
      <c r="K24" s="55">
        <v>6089.8969687951294</v>
      </c>
    </row>
    <row r="25" spans="2:11" x14ac:dyDescent="0.25">
      <c r="D25" t="s">
        <v>123</v>
      </c>
      <c r="G25" s="53">
        <f>1/(1+WACC)^G100</f>
        <v>0.88039537303519766</v>
      </c>
      <c r="H25" s="53">
        <f>1/(1+WACC)^H100</f>
        <v>0.77509601286178487</v>
      </c>
      <c r="I25" s="53">
        <f>1/(1+WACC)^I100</f>
        <v>0.68239094338154549</v>
      </c>
      <c r="J25" s="53">
        <f>1/(1+WACC)^J100</f>
        <v>0.60077382915423616</v>
      </c>
      <c r="K25" s="57">
        <f>1/(1+WACC)^K100</f>
        <v>0.52891849942802782</v>
      </c>
    </row>
    <row r="26" spans="2:11" ht="15.75" thickBot="1" x14ac:dyDescent="0.3">
      <c r="C26" t="s">
        <v>124</v>
      </c>
      <c r="G26" s="47" cm="1">
        <f t="array" ref="G26:K26">+_xlfn.ANCHORARRAY(G24)*G25:K25</f>
        <v>4538.3971221777156</v>
      </c>
      <c r="H26" s="47">
        <v>3951.8866829772501</v>
      </c>
      <c r="I26" s="47">
        <v>3878.8696363156223</v>
      </c>
      <c r="J26" s="47">
        <v>3452.003362493112</v>
      </c>
      <c r="K26" s="47">
        <v>3221.059166406415</v>
      </c>
    </row>
    <row r="27" spans="2:11" ht="15.75" thickBot="1" x14ac:dyDescent="0.3">
      <c r="C27" t="s">
        <v>125</v>
      </c>
      <c r="G27" s="54">
        <f>SUM(_xlfn.ANCHORARRAY(G26))</f>
        <v>19042.215970370118</v>
      </c>
      <c r="H27" s="47"/>
      <c r="I27" s="47"/>
      <c r="J27" s="47"/>
      <c r="K27" s="47"/>
    </row>
    <row r="28" spans="2:11" x14ac:dyDescent="0.25">
      <c r="G28" s="47"/>
      <c r="H28" s="47"/>
      <c r="I28" s="47"/>
      <c r="J28" s="47"/>
      <c r="K28" s="47"/>
    </row>
    <row r="29" spans="2:11" x14ac:dyDescent="0.25">
      <c r="B29" t="s">
        <v>126</v>
      </c>
      <c r="G29" s="47"/>
      <c r="H29" s="47"/>
      <c r="I29" s="47"/>
      <c r="J29" s="47"/>
      <c r="K29" s="47"/>
    </row>
    <row r="30" spans="2:11" x14ac:dyDescent="0.25">
      <c r="C30" s="60" t="s">
        <v>127</v>
      </c>
      <c r="G30" s="47"/>
      <c r="H30" s="47"/>
      <c r="I30" s="47"/>
      <c r="J30" s="47"/>
      <c r="K30" s="47"/>
    </row>
    <row r="31" spans="2:11" x14ac:dyDescent="0.25">
      <c r="D31" t="s">
        <v>128</v>
      </c>
      <c r="G31" s="47">
        <f>DCF.FCF.Year5</f>
        <v>6089.8969687951294</v>
      </c>
      <c r="H31" s="47"/>
      <c r="I31" s="47"/>
      <c r="J31" s="47"/>
      <c r="K31" s="47"/>
    </row>
    <row r="32" spans="2:11" x14ac:dyDescent="0.25">
      <c r="D32" t="s">
        <v>129</v>
      </c>
      <c r="G32" s="74">
        <v>3.8300000000000001E-2</v>
      </c>
      <c r="H32" s="47"/>
      <c r="I32" s="47"/>
      <c r="J32" s="47"/>
      <c r="K32" s="47"/>
    </row>
    <row r="33" spans="3:11" x14ac:dyDescent="0.25">
      <c r="D33" t="s">
        <v>130</v>
      </c>
      <c r="G33" s="51">
        <f>+G31*(1+G32)</f>
        <v>6323.1400226999831</v>
      </c>
      <c r="H33" s="47"/>
      <c r="I33" s="47"/>
      <c r="J33" s="47"/>
      <c r="K33" s="47"/>
    </row>
    <row r="34" spans="3:11" x14ac:dyDescent="0.25">
      <c r="C34" t="s">
        <v>131</v>
      </c>
      <c r="G34" s="47">
        <f>+G33/(WACC-G32)</f>
        <v>64817.277009583486</v>
      </c>
      <c r="H34" s="47"/>
      <c r="I34" s="47"/>
      <c r="J34" s="47"/>
      <c r="K34" s="47"/>
    </row>
    <row r="35" spans="3:11" x14ac:dyDescent="0.25">
      <c r="C35" t="s">
        <v>132</v>
      </c>
      <c r="G35" s="47"/>
      <c r="H35" s="47"/>
      <c r="I35" s="47"/>
      <c r="J35" s="47"/>
      <c r="K35" s="47"/>
    </row>
    <row r="36" spans="3:11" x14ac:dyDescent="0.25">
      <c r="D36" t="s">
        <v>133</v>
      </c>
      <c r="G36" s="47">
        <f>+G34*DCF.Terminal.Discount</f>
        <v>34283.056892919703</v>
      </c>
      <c r="H36" s="47"/>
      <c r="I36" s="47"/>
      <c r="J36" s="47"/>
      <c r="K36" s="47"/>
    </row>
    <row r="37" spans="3:11" x14ac:dyDescent="0.25">
      <c r="D37" t="s">
        <v>134</v>
      </c>
      <c r="G37" s="47">
        <f>+G27</f>
        <v>19042.215970370118</v>
      </c>
      <c r="H37" s="47"/>
      <c r="I37" s="47"/>
      <c r="J37" s="47"/>
      <c r="K37" s="47"/>
    </row>
    <row r="38" spans="3:11" x14ac:dyDescent="0.25">
      <c r="C38" t="s">
        <v>135</v>
      </c>
      <c r="G38" s="55">
        <f>SUM(G36:G37)</f>
        <v>53325.272863289822</v>
      </c>
      <c r="H38" s="47"/>
      <c r="I38" s="47"/>
      <c r="J38" s="47"/>
      <c r="K38" s="47"/>
    </row>
    <row r="39" spans="3:11" x14ac:dyDescent="0.25">
      <c r="D39" t="s">
        <v>136</v>
      </c>
      <c r="G39" s="59">
        <f>+TV.Gordon/DCF.Terminal.EBITDA</f>
        <v>6.2671834322607047</v>
      </c>
      <c r="H39" s="47"/>
      <c r="I39" s="47"/>
      <c r="J39" s="47"/>
      <c r="K39" s="47"/>
    </row>
    <row r="40" spans="3:11" x14ac:dyDescent="0.25">
      <c r="G40" s="47"/>
      <c r="H40" s="47"/>
      <c r="I40" s="47"/>
      <c r="J40" s="47"/>
      <c r="K40" s="47"/>
    </row>
    <row r="41" spans="3:11" x14ac:dyDescent="0.25">
      <c r="C41" t="s">
        <v>137</v>
      </c>
      <c r="G41" s="47"/>
      <c r="H41" s="47"/>
      <c r="I41" s="47"/>
      <c r="J41" s="47"/>
      <c r="K41" s="47"/>
    </row>
    <row r="42" spans="3:11" x14ac:dyDescent="0.25">
      <c r="D42" t="s">
        <v>138</v>
      </c>
      <c r="G42" s="47"/>
      <c r="H42" s="47"/>
      <c r="I42" s="47"/>
      <c r="J42" s="47"/>
      <c r="K42" s="47"/>
    </row>
    <row r="43" spans="3:11" x14ac:dyDescent="0.25">
      <c r="E43" t="s">
        <v>139</v>
      </c>
      <c r="G43" s="47">
        <f>DCF.Terminal.EBITDA</f>
        <v>8508.6504072618591</v>
      </c>
      <c r="H43" s="47"/>
      <c r="I43" s="47"/>
      <c r="J43" s="47"/>
      <c r="K43" s="47"/>
    </row>
    <row r="44" spans="3:11" x14ac:dyDescent="0.25">
      <c r="E44" t="s">
        <v>140</v>
      </c>
      <c r="G44" s="91">
        <v>8</v>
      </c>
      <c r="H44" s="47"/>
      <c r="I44" s="47"/>
      <c r="J44" s="47"/>
      <c r="K44" s="47"/>
    </row>
    <row r="45" spans="3:11" x14ac:dyDescent="0.25">
      <c r="D45" t="s">
        <v>138</v>
      </c>
      <c r="G45" s="51">
        <f>+G44*G43</f>
        <v>68069.203258094873</v>
      </c>
      <c r="H45" s="47"/>
      <c r="I45" s="47"/>
      <c r="J45" s="47"/>
      <c r="K45" s="47"/>
    </row>
    <row r="46" spans="3:11" x14ac:dyDescent="0.25">
      <c r="D46" t="s">
        <v>141</v>
      </c>
      <c r="G46" s="47"/>
      <c r="H46" s="47"/>
      <c r="I46" s="47"/>
      <c r="J46" s="47"/>
      <c r="K46" s="47"/>
    </row>
    <row r="47" spans="3:11" x14ac:dyDescent="0.25">
      <c r="E47" t="s">
        <v>133</v>
      </c>
      <c r="G47" s="47">
        <f>+G45*DCF.Terminal.Discount</f>
        <v>36003.060844532964</v>
      </c>
      <c r="H47" s="47"/>
      <c r="I47" s="47"/>
      <c r="J47" s="47"/>
      <c r="K47" s="47"/>
    </row>
    <row r="48" spans="3:11" x14ac:dyDescent="0.25">
      <c r="E48" t="s">
        <v>134</v>
      </c>
      <c r="G48" s="47">
        <f>+G27</f>
        <v>19042.215970370118</v>
      </c>
      <c r="H48" s="47"/>
      <c r="I48" s="47"/>
      <c r="J48" s="47"/>
      <c r="K48" s="47"/>
    </row>
    <row r="49" spans="2:13" x14ac:dyDescent="0.25">
      <c r="D49" t="s">
        <v>135</v>
      </c>
      <c r="G49" s="63">
        <f>SUM(G47:G48)</f>
        <v>55045.276814903082</v>
      </c>
      <c r="H49" s="47"/>
      <c r="I49" s="47"/>
      <c r="J49" s="47"/>
      <c r="K49" s="47"/>
    </row>
    <row r="50" spans="2:13" x14ac:dyDescent="0.25">
      <c r="E50" t="s">
        <v>142</v>
      </c>
      <c r="G50" s="56">
        <f>(WACC-DCF.FCF.Year5/G45)/(1-DCF.FCF.Year5/G45)</f>
        <v>5.0944902459041382E-2</v>
      </c>
      <c r="H50" s="47"/>
      <c r="I50" s="47"/>
      <c r="J50" s="47"/>
      <c r="K50" s="47"/>
    </row>
    <row r="51" spans="2:13" ht="15.75" thickBot="1" x14ac:dyDescent="0.3">
      <c r="G51" s="47"/>
      <c r="H51" s="47"/>
      <c r="I51" s="47"/>
      <c r="J51" s="47"/>
      <c r="K51" s="47"/>
    </row>
    <row r="52" spans="2:13" ht="15.75" thickBot="1" x14ac:dyDescent="0.3">
      <c r="B52" t="s">
        <v>143</v>
      </c>
      <c r="G52" s="160" t="s">
        <v>144</v>
      </c>
      <c r="H52" s="161"/>
      <c r="I52" s="47"/>
      <c r="J52" s="47"/>
      <c r="K52" s="47"/>
    </row>
    <row r="53" spans="2:13" ht="15.75" thickBot="1" x14ac:dyDescent="0.3">
      <c r="C53" t="s">
        <v>147</v>
      </c>
      <c r="G53" s="61" t="s">
        <v>145</v>
      </c>
      <c r="H53" s="62" t="s">
        <v>146</v>
      </c>
      <c r="I53" s="47"/>
      <c r="J53" s="47"/>
      <c r="K53" s="47"/>
    </row>
    <row r="54" spans="2:13" x14ac:dyDescent="0.25">
      <c r="D54" t="s">
        <v>141</v>
      </c>
      <c r="G54" s="47">
        <f>TV.Gordon</f>
        <v>53325.272863289822</v>
      </c>
      <c r="H54" s="47">
        <f>TV.Multiple</f>
        <v>55045.276814903082</v>
      </c>
      <c r="I54" s="47"/>
      <c r="J54" s="47"/>
      <c r="K54" s="47"/>
    </row>
    <row r="55" spans="2:13" x14ac:dyDescent="0.25">
      <c r="D55" t="s">
        <v>148</v>
      </c>
      <c r="G55" s="47">
        <f>-DCF.Debt</f>
        <v>-5500</v>
      </c>
      <c r="H55" s="47">
        <f>-DCF.Debt</f>
        <v>-5500</v>
      </c>
      <c r="I55" s="47"/>
      <c r="J55" s="47"/>
      <c r="K55" s="47"/>
    </row>
    <row r="56" spans="2:13" x14ac:dyDescent="0.25">
      <c r="D56" t="s">
        <v>149</v>
      </c>
      <c r="G56" s="47">
        <f>-DCF.Pref.Stock</f>
        <v>-1500</v>
      </c>
      <c r="H56" s="47">
        <f>-DCF.Pref.Stock</f>
        <v>-1500</v>
      </c>
      <c r="I56" s="47"/>
      <c r="J56" s="47"/>
      <c r="K56" s="47"/>
    </row>
    <row r="57" spans="2:13" x14ac:dyDescent="0.25">
      <c r="E57" t="s">
        <v>150</v>
      </c>
      <c r="G57" s="51">
        <f>SUM(G54:G56)</f>
        <v>46325.272863289822</v>
      </c>
      <c r="H57" s="51">
        <f>SUM(H54:H56)</f>
        <v>48045.276814903082</v>
      </c>
      <c r="I57" s="47"/>
      <c r="J57" s="47"/>
      <c r="K57" s="47"/>
    </row>
    <row r="58" spans="2:13" x14ac:dyDescent="0.25">
      <c r="E58" t="s">
        <v>151</v>
      </c>
      <c r="G58" s="43">
        <f ca="1">+Shares.Outstanding</f>
        <v>1183.6559999999999</v>
      </c>
      <c r="H58" s="43">
        <f ca="1">+Shares.Outstanding</f>
        <v>1183.6559999999999</v>
      </c>
      <c r="I58" s="47"/>
      <c r="J58" s="47"/>
      <c r="K58" s="47"/>
    </row>
    <row r="59" spans="2:13" x14ac:dyDescent="0.25">
      <c r="E59" t="s">
        <v>153</v>
      </c>
      <c r="G59" s="64">
        <f ca="1">+G57/G58</f>
        <v>39.137446068190272</v>
      </c>
      <c r="H59" s="64">
        <f ca="1">+H57/H58</f>
        <v>40.590574301066425</v>
      </c>
      <c r="I59" s="47"/>
      <c r="J59" s="47"/>
      <c r="K59" s="47"/>
    </row>
    <row r="60" spans="2:13" x14ac:dyDescent="0.25">
      <c r="B60" t="s">
        <v>154</v>
      </c>
      <c r="G60" s="47"/>
      <c r="H60" s="47"/>
      <c r="I60" s="47"/>
      <c r="J60" s="47"/>
      <c r="K60" s="47"/>
    </row>
    <row r="61" spans="2:13" x14ac:dyDescent="0.25">
      <c r="C61" t="s">
        <v>155</v>
      </c>
      <c r="G61" s="56">
        <v>0.40899999999999997</v>
      </c>
      <c r="H61" s="56">
        <f>1-G61</f>
        <v>0.59099999999999997</v>
      </c>
      <c r="I61" s="47"/>
      <c r="J61" s="47"/>
      <c r="K61" s="47"/>
    </row>
    <row r="62" spans="2:13" x14ac:dyDescent="0.25">
      <c r="D62" t="s">
        <v>156</v>
      </c>
      <c r="G62" s="64">
        <f ca="1">SUMPRODUCT(G59:H59,G61:H61)</f>
        <v>39.996244853820073</v>
      </c>
      <c r="H62" s="47"/>
      <c r="I62" s="47"/>
      <c r="J62" s="47"/>
      <c r="K62" s="47"/>
    </row>
    <row r="63" spans="2:13" ht="15.75" thickBot="1" x14ac:dyDescent="0.3">
      <c r="G63" s="47"/>
      <c r="H63" s="47"/>
      <c r="I63" s="47"/>
      <c r="J63" s="47"/>
      <c r="K63" s="47"/>
    </row>
    <row r="64" spans="2:13" ht="15.75" thickBot="1" x14ac:dyDescent="0.3">
      <c r="G64" s="47"/>
      <c r="H64" s="152" t="s">
        <v>157</v>
      </c>
      <c r="I64" s="153"/>
      <c r="J64" s="153"/>
      <c r="K64" s="153"/>
      <c r="L64" s="153"/>
      <c r="M64" s="154"/>
    </row>
    <row r="65" spans="7:14" ht="15.75" thickBot="1" x14ac:dyDescent="0.3">
      <c r="G65" s="47"/>
      <c r="H65" s="72"/>
      <c r="I65" s="155" t="s">
        <v>158</v>
      </c>
      <c r="J65" s="156"/>
      <c r="K65" s="156"/>
      <c r="L65" s="156"/>
      <c r="M65" s="157"/>
    </row>
    <row r="66" spans="7:14" ht="15.75" thickBot="1" x14ac:dyDescent="0.3">
      <c r="G66" s="47"/>
      <c r="H66" s="73">
        <f ca="1">+G59</f>
        <v>39.137446068190272</v>
      </c>
      <c r="I66" s="65" cm="1">
        <f t="array" ref="I66:M66">_xlfn.SEQUENCE(1,5,2%,1%)</f>
        <v>0.02</v>
      </c>
      <c r="J66" s="66">
        <v>0.03</v>
      </c>
      <c r="K66" s="66">
        <v>0.04</v>
      </c>
      <c r="L66" s="67">
        <v>0.05</v>
      </c>
      <c r="M66" s="68">
        <v>6.0000000000000005E-2</v>
      </c>
    </row>
    <row r="67" spans="7:14" x14ac:dyDescent="0.25">
      <c r="H67" s="69" cm="1">
        <f t="array" ref="H67:H71">_xlfn.SEQUENCE(5,1,11.5%,2%)</f>
        <v>0.115</v>
      </c>
      <c r="I67" s="76">
        <f t="dataTable" ref="I67:M71" dt2D="1" dtr="1" r1="G32" r2="G12" ca="1"/>
        <v>43.101707139690028</v>
      </c>
      <c r="J67" s="77">
        <v>47.224034157290546</v>
      </c>
      <c r="K67" s="77">
        <v>52.445648379584519</v>
      </c>
      <c r="L67" s="78">
        <v>59.273913131815114</v>
      </c>
      <c r="M67" s="79">
        <v>68.585183248493209</v>
      </c>
      <c r="N67" t="s">
        <v>161</v>
      </c>
    </row>
    <row r="68" spans="7:14" x14ac:dyDescent="0.25">
      <c r="H68" s="70">
        <v>0.13500000000000001</v>
      </c>
      <c r="I68" s="80">
        <v>34.435509557290835</v>
      </c>
      <c r="J68" s="81">
        <v>37.003029678039994</v>
      </c>
      <c r="K68" s="81">
        <v>40.111080350525846</v>
      </c>
      <c r="L68" s="9">
        <v>43.950437063596581</v>
      </c>
      <c r="M68" s="82">
        <v>48.813622233486186</v>
      </c>
    </row>
    <row r="69" spans="7:14" x14ac:dyDescent="0.25">
      <c r="H69" s="70">
        <v>0.155</v>
      </c>
      <c r="I69" s="80">
        <v>28.345447838883988</v>
      </c>
      <c r="J69" s="81">
        <v>30.058666210239085</v>
      </c>
      <c r="K69" s="81">
        <v>32.06983560269942</v>
      </c>
      <c r="L69" s="9">
        <v>34.464084879437905</v>
      </c>
      <c r="M69" s="82">
        <v>37.362386635489763</v>
      </c>
    </row>
    <row r="70" spans="7:14" x14ac:dyDescent="0.25">
      <c r="H70" s="70">
        <v>0.17499999999999999</v>
      </c>
      <c r="I70" s="80">
        <v>23.83366984002781</v>
      </c>
      <c r="J70" s="81">
        <v>25.034642924634927</v>
      </c>
      <c r="K70" s="81">
        <v>26.413537947702363</v>
      </c>
      <c r="L70" s="9">
        <v>28.01305617446058</v>
      </c>
      <c r="M70" s="82">
        <v>29.890751484133276</v>
      </c>
    </row>
    <row r="71" spans="7:14" ht="15.75" thickBot="1" x14ac:dyDescent="0.3">
      <c r="H71" s="71">
        <v>0.19499999999999998</v>
      </c>
      <c r="I71" s="83">
        <v>20.358543688225922</v>
      </c>
      <c r="J71" s="84">
        <v>21.232301008384479</v>
      </c>
      <c r="K71" s="84">
        <v>22.218801208563487</v>
      </c>
      <c r="L71" s="85">
        <v>23.341370401870641</v>
      </c>
      <c r="M71" s="86">
        <v>24.6302461423344</v>
      </c>
    </row>
    <row r="72" spans="7:14" ht="15.75" thickBot="1" x14ac:dyDescent="0.3">
      <c r="G72" s="47"/>
      <c r="H72" s="47"/>
      <c r="I72" s="47"/>
      <c r="J72" s="47"/>
      <c r="K72" s="47"/>
    </row>
    <row r="73" spans="7:14" ht="15.75" thickBot="1" x14ac:dyDescent="0.3">
      <c r="G73" s="47"/>
      <c r="H73" s="152" t="s">
        <v>157</v>
      </c>
      <c r="I73" s="153"/>
      <c r="J73" s="153"/>
      <c r="K73" s="153"/>
      <c r="L73" s="153"/>
      <c r="M73" s="154"/>
    </row>
    <row r="74" spans="7:14" ht="15.75" thickBot="1" x14ac:dyDescent="0.3">
      <c r="G74" s="47"/>
      <c r="H74" s="72"/>
      <c r="I74" s="155" t="s">
        <v>159</v>
      </c>
      <c r="J74" s="156"/>
      <c r="K74" s="156"/>
      <c r="L74" s="156"/>
      <c r="M74" s="157"/>
    </row>
    <row r="75" spans="7:14" ht="15.75" thickBot="1" x14ac:dyDescent="0.3">
      <c r="G75" s="47"/>
      <c r="H75" s="73">
        <f ca="1">+H59</f>
        <v>40.590574301066425</v>
      </c>
      <c r="I75" s="87" cm="1">
        <f t="array" ref="I75:M75">_xlfn.SEQUENCE(1,5,8,1)</f>
        <v>8</v>
      </c>
      <c r="J75" s="88">
        <v>9</v>
      </c>
      <c r="K75" s="88">
        <v>10</v>
      </c>
      <c r="L75" s="89">
        <v>11</v>
      </c>
      <c r="M75" s="90">
        <v>12</v>
      </c>
    </row>
    <row r="76" spans="7:14" x14ac:dyDescent="0.25">
      <c r="H76" s="69" cm="1">
        <f t="array" ref="H76:H80">_xlfn.SEQUENCE(5,1,11.5%,2%)</f>
        <v>0.115</v>
      </c>
      <c r="I76" s="76">
        <f t="dataTable" ref="I76:M80" dt2D="1" dtr="1" r1="G44" r2="G12"/>
        <v>44.416966170099663</v>
      </c>
      <c r="J76" s="77">
        <v>48.588164495380283</v>
      </c>
      <c r="K76" s="77">
        <v>52.759362820660911</v>
      </c>
      <c r="L76" s="78">
        <v>56.930561145941546</v>
      </c>
      <c r="M76" s="79">
        <v>61.101759471222167</v>
      </c>
      <c r="N76" t="s">
        <v>162</v>
      </c>
    </row>
    <row r="77" spans="7:14" x14ac:dyDescent="0.25">
      <c r="H77" s="70">
        <v>0.13500000000000001</v>
      </c>
      <c r="I77" s="80">
        <v>40.739412304384921</v>
      </c>
      <c r="J77" s="81">
        <v>44.555829717509965</v>
      </c>
      <c r="K77" s="81">
        <v>48.372247130635003</v>
      </c>
      <c r="L77" s="9">
        <v>52.188664543760055</v>
      </c>
      <c r="M77" s="82">
        <v>56.005081956885107</v>
      </c>
    </row>
    <row r="78" spans="7:14" x14ac:dyDescent="0.25">
      <c r="H78" s="70">
        <v>0.155</v>
      </c>
      <c r="I78" s="80">
        <v>37.41120527504448</v>
      </c>
      <c r="J78" s="81">
        <v>40.908443811142185</v>
      </c>
      <c r="K78" s="81">
        <v>44.405682347239896</v>
      </c>
      <c r="L78" s="9">
        <v>47.902920883337615</v>
      </c>
      <c r="M78" s="82">
        <v>51.400159419435326</v>
      </c>
    </row>
    <row r="79" spans="7:14" x14ac:dyDescent="0.25">
      <c r="H79" s="70">
        <v>0.17499999999999999</v>
      </c>
      <c r="I79" s="80">
        <v>34.393240911486565</v>
      </c>
      <c r="J79" s="81">
        <v>37.602803457263505</v>
      </c>
      <c r="K79" s="81">
        <v>40.812366003040445</v>
      </c>
      <c r="L79" s="9">
        <v>44.021928548817399</v>
      </c>
      <c r="M79" s="82">
        <v>47.231491094594347</v>
      </c>
    </row>
    <row r="80" spans="7:14" ht="15.75" thickBot="1" x14ac:dyDescent="0.3">
      <c r="H80" s="71">
        <v>0.19499999999999998</v>
      </c>
      <c r="I80" s="83">
        <v>31.651390725942573</v>
      </c>
      <c r="J80" s="84">
        <v>34.601211636856782</v>
      </c>
      <c r="K80" s="84">
        <v>37.551032547770987</v>
      </c>
      <c r="L80" s="85">
        <v>40.500853458685206</v>
      </c>
      <c r="M80" s="86">
        <v>43.450674369599412</v>
      </c>
    </row>
    <row r="81" spans="2:14" ht="15.75" thickBot="1" x14ac:dyDescent="0.3">
      <c r="G81" s="47"/>
      <c r="H81" s="47"/>
      <c r="I81" s="47"/>
      <c r="J81" s="47"/>
      <c r="K81" s="47"/>
    </row>
    <row r="82" spans="2:14" ht="15.75" thickBot="1" x14ac:dyDescent="0.3">
      <c r="G82" s="47"/>
      <c r="H82" s="152" t="s">
        <v>157</v>
      </c>
      <c r="I82" s="153"/>
      <c r="J82" s="153"/>
      <c r="K82" s="153"/>
      <c r="L82" s="153"/>
      <c r="M82" s="154"/>
    </row>
    <row r="83" spans="2:14" ht="15.75" thickBot="1" x14ac:dyDescent="0.3">
      <c r="G83" s="158" t="s">
        <v>160</v>
      </c>
      <c r="H83" s="72"/>
      <c r="I83" s="155" t="s">
        <v>159</v>
      </c>
      <c r="J83" s="156"/>
      <c r="K83" s="156"/>
      <c r="L83" s="156"/>
      <c r="M83" s="157"/>
    </row>
    <row r="84" spans="2:14" ht="15.75" thickBot="1" x14ac:dyDescent="0.3">
      <c r="G84" s="159"/>
      <c r="H84" s="92">
        <f ca="1">+H59</f>
        <v>40.590574301066425</v>
      </c>
      <c r="I84" s="87" cm="1">
        <f t="array" ref="I84:M84">_xlfn.SEQUENCE(1,5,8,1)</f>
        <v>8</v>
      </c>
      <c r="J84" s="88">
        <v>9</v>
      </c>
      <c r="K84" s="88">
        <v>10</v>
      </c>
      <c r="L84" s="89">
        <v>11</v>
      </c>
      <c r="M84" s="90">
        <v>12</v>
      </c>
      <c r="N84" t="str">
        <f ca="1">_xlfn.FORMULATEXT(I84)</f>
        <v>=SEQUENCE(1,5,8,1)</v>
      </c>
    </row>
    <row r="85" spans="2:14" x14ac:dyDescent="0.25">
      <c r="G85" s="96" cm="1">
        <f t="array" ref="G85:G89">_xlfn.SEQUENCE(5,1,70%,15%)</f>
        <v>0.7</v>
      </c>
      <c r="H85" s="93" cm="1">
        <f t="array" ref="H85:H89">+_xlfn.ANCHORARRAY(G85)*DCF.Terminal.EBITDA</f>
        <v>5956.055285083301</v>
      </c>
      <c r="I85" s="76">
        <f t="dataTable" ref="I85:M89" dt2D="1" dtr="1" r1="G44" r2="G43" ca="1"/>
        <v>31.465525931134717</v>
      </c>
      <c r="J85" s="77">
        <v>34.126998372364802</v>
      </c>
      <c r="K85" s="77">
        <v>36.788470813594884</v>
      </c>
      <c r="L85" s="78">
        <v>39.449943254824959</v>
      </c>
      <c r="M85" s="79">
        <v>42.11141569605504</v>
      </c>
    </row>
    <row r="86" spans="2:14" x14ac:dyDescent="0.25">
      <c r="G86" s="97">
        <v>0.85</v>
      </c>
      <c r="H86" s="94">
        <v>7232.35284617258</v>
      </c>
      <c r="I86" s="80">
        <v>36.028050116100573</v>
      </c>
      <c r="J86" s="81">
        <v>39.259838080451388</v>
      </c>
      <c r="K86" s="81">
        <v>42.491626044802196</v>
      </c>
      <c r="L86" s="9">
        <v>45.723414009153018</v>
      </c>
      <c r="M86" s="82">
        <v>48.955201973503826</v>
      </c>
    </row>
    <row r="87" spans="2:14" x14ac:dyDescent="0.25">
      <c r="G87" s="97">
        <v>1</v>
      </c>
      <c r="H87" s="94">
        <v>8508.6504072618591</v>
      </c>
      <c r="I87" s="80">
        <v>40.590574301066425</v>
      </c>
      <c r="J87" s="81">
        <v>44.392677788537966</v>
      </c>
      <c r="K87" s="81">
        <v>48.194781276009515</v>
      </c>
      <c r="L87" s="9">
        <v>51.99688476348107</v>
      </c>
      <c r="M87" s="82">
        <v>55.798988250952611</v>
      </c>
    </row>
    <row r="88" spans="2:14" x14ac:dyDescent="0.25">
      <c r="G88" s="97">
        <v>1.1499999999999999</v>
      </c>
      <c r="H88" s="94">
        <v>9784.9479683511363</v>
      </c>
      <c r="I88" s="80">
        <v>45.153098486032277</v>
      </c>
      <c r="J88" s="81">
        <v>49.525517496624559</v>
      </c>
      <c r="K88" s="81">
        <v>53.897936507216826</v>
      </c>
      <c r="L88" s="9">
        <v>58.270355517809108</v>
      </c>
      <c r="M88" s="82">
        <v>62.642774528401382</v>
      </c>
    </row>
    <row r="89" spans="2:14" ht="15.75" thickBot="1" x14ac:dyDescent="0.3">
      <c r="G89" s="98">
        <v>1.2999999999999998</v>
      </c>
      <c r="H89" s="95">
        <v>11061.245529440415</v>
      </c>
      <c r="I89" s="83">
        <v>49.715622670998123</v>
      </c>
      <c r="J89" s="84">
        <v>54.658357204711152</v>
      </c>
      <c r="K89" s="84">
        <v>59.601091738424152</v>
      </c>
      <c r="L89" s="85">
        <v>64.543826272137167</v>
      </c>
      <c r="M89" s="86">
        <v>69.486560805850175</v>
      </c>
    </row>
    <row r="90" spans="2:14" x14ac:dyDescent="0.25">
      <c r="G90" s="47"/>
      <c r="H90" s="47"/>
      <c r="I90" s="47"/>
      <c r="J90" s="47"/>
      <c r="K90" s="47"/>
    </row>
    <row r="91" spans="2:14" x14ac:dyDescent="0.25">
      <c r="G91" s="47"/>
      <c r="H91" s="47"/>
      <c r="I91" s="47"/>
      <c r="J91" s="47"/>
      <c r="K91" s="47"/>
    </row>
    <row r="92" spans="2:14" x14ac:dyDescent="0.25">
      <c r="B92" t="s">
        <v>163</v>
      </c>
      <c r="G92" s="47" t="s">
        <v>167</v>
      </c>
      <c r="H92" s="47" t="s">
        <v>168</v>
      </c>
      <c r="I92" s="47" t="s">
        <v>169</v>
      </c>
      <c r="J92" s="47"/>
      <c r="K92" s="47"/>
    </row>
    <row r="93" spans="2:14" x14ac:dyDescent="0.25">
      <c r="F93" s="46" t="s">
        <v>164</v>
      </c>
      <c r="G93" s="47">
        <f>MIN(table.multiple)</f>
        <v>31.651390725942573</v>
      </c>
      <c r="H93" s="47">
        <f>+I93-G93</f>
        <v>29.450368745279594</v>
      </c>
      <c r="I93" s="47">
        <f>MAX(table.multiple)</f>
        <v>61.101759471222167</v>
      </c>
      <c r="J93" s="47"/>
      <c r="K93" s="47"/>
    </row>
    <row r="94" spans="2:14" x14ac:dyDescent="0.25">
      <c r="F94" s="46" t="s">
        <v>165</v>
      </c>
      <c r="G94" s="47">
        <f>MIN(table.gordon)</f>
        <v>20.358543688225922</v>
      </c>
      <c r="H94" s="47">
        <f t="shared" ref="H94:H95" si="2">+I94-G94</f>
        <v>48.226639560267287</v>
      </c>
      <c r="I94" s="47">
        <f>MAX(table.gordon)</f>
        <v>68.585183248493209</v>
      </c>
      <c r="J94" s="47"/>
      <c r="K94" s="47"/>
    </row>
    <row r="95" spans="2:14" x14ac:dyDescent="0.25">
      <c r="F95" s="46" t="s">
        <v>166</v>
      </c>
      <c r="G95" s="47" cm="1">
        <f t="array" aca="1" ref="G95" ca="1">_FV(H3,"52 week low",TRUE)</f>
        <v>23.7</v>
      </c>
      <c r="H95" s="47">
        <f t="shared" ca="1" si="2"/>
        <v>9.6500000000000021</v>
      </c>
      <c r="I95" s="47" cm="1">
        <f t="array" aca="1" ref="I95" ca="1">+_FV(H3,"52 week high",TRUE)</f>
        <v>33.35</v>
      </c>
      <c r="J95" s="47"/>
      <c r="K95" s="47"/>
    </row>
    <row r="96" spans="2:14" x14ac:dyDescent="0.25">
      <c r="F96" s="46" t="s">
        <v>156</v>
      </c>
      <c r="G96" s="47">
        <f ca="1">+$G$62</f>
        <v>39.996244853820073</v>
      </c>
      <c r="H96" s="47">
        <f ca="1">+$G$62</f>
        <v>39.996244853820073</v>
      </c>
      <c r="I96" s="47">
        <f ca="1">+$G$62</f>
        <v>39.996244853820073</v>
      </c>
      <c r="J96" s="47"/>
      <c r="K96" s="47"/>
    </row>
    <row r="97" spans="7:11" x14ac:dyDescent="0.25">
      <c r="G97" s="47"/>
      <c r="H97" s="47"/>
      <c r="I97" s="47"/>
      <c r="J97" s="47"/>
      <c r="K97" s="47"/>
    </row>
    <row r="98" spans="7:11" x14ac:dyDescent="0.25">
      <c r="G98" s="47"/>
      <c r="H98" s="47"/>
      <c r="I98" s="47"/>
      <c r="J98" s="47"/>
      <c r="K98" s="47"/>
    </row>
    <row r="99" spans="7:11" x14ac:dyDescent="0.25">
      <c r="G99" s="47"/>
      <c r="H99" s="47"/>
      <c r="I99" s="47"/>
      <c r="J99" s="47"/>
      <c r="K99" s="47"/>
    </row>
    <row r="100" spans="7:11" x14ac:dyDescent="0.25">
      <c r="G100" s="47" cm="1">
        <f t="array" ref="G100:K100">_xlfn.SEQUENCE(1,5)</f>
        <v>1</v>
      </c>
      <c r="H100" s="47">
        <v>2</v>
      </c>
      <c r="I100" s="47">
        <v>3</v>
      </c>
      <c r="J100" s="47">
        <v>4</v>
      </c>
      <c r="K100" s="47">
        <v>5</v>
      </c>
    </row>
    <row r="101" spans="7:11" x14ac:dyDescent="0.25">
      <c r="G101" s="47"/>
      <c r="H101" s="47"/>
      <c r="I101" s="47"/>
      <c r="J101" s="47"/>
      <c r="K101" s="47"/>
    </row>
    <row r="102" spans="7:11" x14ac:dyDescent="0.25">
      <c r="G102" s="47"/>
      <c r="H102" s="47"/>
      <c r="I102" s="47"/>
      <c r="J102" s="47"/>
      <c r="K102" s="47"/>
    </row>
    <row r="103" spans="7:11" x14ac:dyDescent="0.25">
      <c r="G103" s="47"/>
      <c r="H103" s="47"/>
      <c r="I103" s="47"/>
      <c r="J103" s="47"/>
      <c r="K103" s="47"/>
    </row>
    <row r="104" spans="7:11" x14ac:dyDescent="0.25">
      <c r="G104" s="47"/>
      <c r="H104" s="47"/>
      <c r="I104" s="47"/>
      <c r="J104" s="47"/>
      <c r="K104" s="47"/>
    </row>
    <row r="105" spans="7:11" x14ac:dyDescent="0.25">
      <c r="G105" s="47"/>
      <c r="H105" s="47"/>
      <c r="I105" s="47"/>
      <c r="J105" s="47"/>
      <c r="K105" s="47"/>
    </row>
    <row r="106" spans="7:11" x14ac:dyDescent="0.25">
      <c r="G106" s="47"/>
      <c r="H106" s="47"/>
      <c r="I106" s="47"/>
      <c r="J106" s="47"/>
      <c r="K106" s="47"/>
    </row>
    <row r="107" spans="7:11" x14ac:dyDescent="0.25">
      <c r="G107" s="47"/>
      <c r="H107" s="47"/>
      <c r="I107" s="47"/>
      <c r="J107" s="47"/>
      <c r="K107" s="47"/>
    </row>
    <row r="108" spans="7:11" x14ac:dyDescent="0.25">
      <c r="G108" s="47"/>
      <c r="H108" s="47"/>
      <c r="I108" s="47"/>
      <c r="J108" s="47"/>
      <c r="K108" s="47"/>
    </row>
    <row r="109" spans="7:11" x14ac:dyDescent="0.25">
      <c r="G109" s="47"/>
      <c r="H109" s="47"/>
      <c r="I109" s="47"/>
      <c r="J109" s="47"/>
      <c r="K109" s="47"/>
    </row>
    <row r="110" spans="7:11" x14ac:dyDescent="0.25">
      <c r="G110" s="47"/>
      <c r="H110" s="47"/>
      <c r="I110" s="47"/>
      <c r="J110" s="47"/>
      <c r="K110" s="47"/>
    </row>
    <row r="111" spans="7:11" x14ac:dyDescent="0.25">
      <c r="G111" s="47"/>
      <c r="H111" s="47"/>
      <c r="I111" s="47"/>
      <c r="J111" s="47"/>
      <c r="K111" s="47"/>
    </row>
    <row r="112" spans="7:11" x14ac:dyDescent="0.25">
      <c r="G112" s="47"/>
      <c r="H112" s="47"/>
      <c r="I112" s="47"/>
      <c r="J112" s="47"/>
      <c r="K112" s="47"/>
    </row>
    <row r="113" spans="7:11" x14ac:dyDescent="0.25">
      <c r="G113" s="47"/>
      <c r="H113" s="47"/>
      <c r="I113" s="47"/>
      <c r="J113" s="47"/>
      <c r="K113" s="47"/>
    </row>
    <row r="114" spans="7:11" x14ac:dyDescent="0.25">
      <c r="G114" s="47"/>
      <c r="H114" s="47"/>
      <c r="I114" s="47"/>
      <c r="J114" s="47"/>
      <c r="K114" s="47"/>
    </row>
    <row r="115" spans="7:11" x14ac:dyDescent="0.25">
      <c r="G115" s="47"/>
      <c r="H115" s="47"/>
      <c r="I115" s="47"/>
      <c r="J115" s="47"/>
      <c r="K115" s="47"/>
    </row>
    <row r="116" spans="7:11" x14ac:dyDescent="0.25">
      <c r="G116" s="47"/>
      <c r="H116" s="47"/>
      <c r="I116" s="47"/>
      <c r="J116" s="47"/>
      <c r="K116" s="47"/>
    </row>
    <row r="117" spans="7:11" x14ac:dyDescent="0.25">
      <c r="G117" s="47"/>
      <c r="H117" s="47"/>
      <c r="I117" s="47"/>
      <c r="J117" s="47"/>
      <c r="K117" s="47"/>
    </row>
    <row r="118" spans="7:11" x14ac:dyDescent="0.25">
      <c r="G118" s="47"/>
      <c r="H118" s="47"/>
      <c r="I118" s="47"/>
      <c r="J118" s="47"/>
      <c r="K118" s="47"/>
    </row>
    <row r="119" spans="7:11" x14ac:dyDescent="0.25">
      <c r="G119" s="47"/>
      <c r="H119" s="47"/>
      <c r="I119" s="47"/>
      <c r="J119" s="47"/>
      <c r="K119" s="47"/>
    </row>
    <row r="120" spans="7:11" x14ac:dyDescent="0.25">
      <c r="G120" s="47"/>
      <c r="H120" s="47"/>
      <c r="I120" s="47"/>
      <c r="J120" s="47"/>
      <c r="K120" s="47"/>
    </row>
    <row r="121" spans="7:11" x14ac:dyDescent="0.25">
      <c r="G121" s="47"/>
      <c r="H121" s="47"/>
      <c r="I121" s="47"/>
      <c r="J121" s="47"/>
      <c r="K121" s="47"/>
    </row>
    <row r="122" spans="7:11" x14ac:dyDescent="0.25">
      <c r="G122" s="47"/>
      <c r="H122" s="47"/>
      <c r="I122" s="47"/>
      <c r="J122" s="47"/>
      <c r="K122" s="47"/>
    </row>
    <row r="123" spans="7:11" x14ac:dyDescent="0.25">
      <c r="G123" s="47"/>
      <c r="H123" s="47"/>
      <c r="I123" s="47"/>
      <c r="J123" s="47"/>
      <c r="K123" s="47"/>
    </row>
    <row r="124" spans="7:11" x14ac:dyDescent="0.25">
      <c r="G124" s="47"/>
      <c r="H124" s="47"/>
      <c r="I124" s="47"/>
      <c r="J124" s="47"/>
      <c r="K124" s="47"/>
    </row>
    <row r="125" spans="7:11" x14ac:dyDescent="0.25">
      <c r="G125" s="47"/>
      <c r="H125" s="47"/>
      <c r="I125" s="47"/>
      <c r="J125" s="47"/>
      <c r="K125" s="47"/>
    </row>
    <row r="126" spans="7:11" x14ac:dyDescent="0.25">
      <c r="G126" s="47"/>
      <c r="H126" s="47"/>
      <c r="I126" s="47"/>
      <c r="J126" s="47"/>
      <c r="K126" s="47"/>
    </row>
    <row r="127" spans="7:11" x14ac:dyDescent="0.25">
      <c r="G127" s="47"/>
      <c r="H127" s="47"/>
      <c r="I127" s="47"/>
      <c r="J127" s="47"/>
      <c r="K127" s="47"/>
    </row>
    <row r="128" spans="7:11" x14ac:dyDescent="0.25">
      <c r="G128" s="47"/>
      <c r="H128" s="47"/>
      <c r="I128" s="47"/>
      <c r="J128" s="47"/>
      <c r="K128" s="47"/>
    </row>
    <row r="129" spans="7:11" x14ac:dyDescent="0.25">
      <c r="G129" s="47"/>
      <c r="H129" s="47"/>
      <c r="I129" s="47"/>
      <c r="J129" s="47"/>
      <c r="K129" s="47"/>
    </row>
    <row r="130" spans="7:11" x14ac:dyDescent="0.25">
      <c r="G130" s="47"/>
      <c r="H130" s="47"/>
      <c r="I130" s="47"/>
      <c r="J130" s="47"/>
      <c r="K130" s="47"/>
    </row>
    <row r="131" spans="7:11" x14ac:dyDescent="0.25">
      <c r="G131" s="47"/>
      <c r="H131" s="47"/>
      <c r="I131" s="47"/>
      <c r="J131" s="47"/>
      <c r="K131" s="47"/>
    </row>
    <row r="132" spans="7:11" x14ac:dyDescent="0.25">
      <c r="G132" s="47"/>
      <c r="H132" s="47"/>
      <c r="I132" s="47"/>
      <c r="J132" s="47"/>
      <c r="K132" s="47"/>
    </row>
    <row r="133" spans="7:11" x14ac:dyDescent="0.25">
      <c r="G133" s="47"/>
      <c r="H133" s="47"/>
      <c r="I133" s="47"/>
      <c r="J133" s="47"/>
      <c r="K133" s="47"/>
    </row>
    <row r="134" spans="7:11" x14ac:dyDescent="0.25">
      <c r="G134" s="47"/>
      <c r="H134" s="47"/>
      <c r="I134" s="47"/>
      <c r="J134" s="47"/>
      <c r="K134" s="47"/>
    </row>
    <row r="135" spans="7:11" x14ac:dyDescent="0.25">
      <c r="G135" s="47"/>
      <c r="H135" s="47"/>
      <c r="I135" s="47"/>
      <c r="J135" s="47"/>
      <c r="K135" s="47"/>
    </row>
    <row r="136" spans="7:11" x14ac:dyDescent="0.25">
      <c r="G136" s="47"/>
      <c r="H136" s="47"/>
      <c r="I136" s="47"/>
      <c r="J136" s="47"/>
      <c r="K136" s="47"/>
    </row>
    <row r="137" spans="7:11" x14ac:dyDescent="0.25">
      <c r="G137" s="47"/>
      <c r="H137" s="47"/>
      <c r="I137" s="47"/>
      <c r="J137" s="47"/>
      <c r="K137" s="47"/>
    </row>
    <row r="138" spans="7:11" x14ac:dyDescent="0.25">
      <c r="G138" s="47"/>
      <c r="H138" s="47"/>
      <c r="I138" s="47"/>
      <c r="J138" s="47"/>
      <c r="K138" s="47"/>
    </row>
    <row r="139" spans="7:11" x14ac:dyDescent="0.25">
      <c r="G139" s="47"/>
      <c r="H139" s="47"/>
      <c r="I139" s="47"/>
      <c r="J139" s="47"/>
      <c r="K139" s="47"/>
    </row>
    <row r="140" spans="7:11" x14ac:dyDescent="0.25">
      <c r="G140" s="47"/>
      <c r="H140" s="47"/>
      <c r="I140" s="47"/>
      <c r="J140" s="47"/>
      <c r="K140" s="47"/>
    </row>
    <row r="141" spans="7:11" x14ac:dyDescent="0.25">
      <c r="G141" s="47"/>
      <c r="H141" s="47"/>
      <c r="I141" s="47"/>
      <c r="J141" s="47"/>
      <c r="K141" s="47"/>
    </row>
    <row r="142" spans="7:11" x14ac:dyDescent="0.25">
      <c r="G142" s="47"/>
      <c r="H142" s="47"/>
      <c r="I142" s="47"/>
      <c r="J142" s="47"/>
      <c r="K142" s="47"/>
    </row>
    <row r="143" spans="7:11" x14ac:dyDescent="0.25">
      <c r="G143" s="47"/>
      <c r="H143" s="47"/>
      <c r="I143" s="47"/>
      <c r="J143" s="47"/>
      <c r="K143" s="47"/>
    </row>
    <row r="144" spans="7:11" x14ac:dyDescent="0.25">
      <c r="G144" s="47"/>
      <c r="H144" s="47"/>
      <c r="I144" s="47"/>
      <c r="J144" s="47"/>
      <c r="K144" s="47"/>
    </row>
    <row r="145" spans="7:11" x14ac:dyDescent="0.25">
      <c r="G145" s="47"/>
      <c r="H145" s="47"/>
      <c r="I145" s="47"/>
      <c r="J145" s="47"/>
      <c r="K145" s="47"/>
    </row>
    <row r="146" spans="7:11" x14ac:dyDescent="0.25">
      <c r="G146" s="47"/>
      <c r="H146" s="47"/>
      <c r="I146" s="47"/>
      <c r="J146" s="47"/>
      <c r="K146" s="47"/>
    </row>
    <row r="147" spans="7:11" x14ac:dyDescent="0.25">
      <c r="G147" s="47"/>
      <c r="H147" s="47"/>
      <c r="I147" s="47"/>
      <c r="J147" s="47"/>
      <c r="K147" s="47"/>
    </row>
    <row r="148" spans="7:11" x14ac:dyDescent="0.25">
      <c r="G148" s="47"/>
      <c r="H148" s="47"/>
      <c r="I148" s="47"/>
      <c r="J148" s="47"/>
      <c r="K148" s="47"/>
    </row>
    <row r="149" spans="7:11" x14ac:dyDescent="0.25">
      <c r="G149" s="47"/>
      <c r="H149" s="47"/>
      <c r="I149" s="47"/>
      <c r="J149" s="47"/>
      <c r="K149" s="47"/>
    </row>
    <row r="150" spans="7:11" x14ac:dyDescent="0.25">
      <c r="G150" s="47"/>
      <c r="H150" s="47"/>
      <c r="I150" s="47"/>
      <c r="J150" s="47"/>
      <c r="K150" s="47"/>
    </row>
    <row r="151" spans="7:11" x14ac:dyDescent="0.25">
      <c r="G151" s="47"/>
      <c r="H151" s="47"/>
      <c r="I151" s="47"/>
      <c r="J151" s="47"/>
      <c r="K151" s="47"/>
    </row>
    <row r="152" spans="7:11" x14ac:dyDescent="0.25">
      <c r="G152" s="47"/>
      <c r="H152" s="47"/>
      <c r="I152" s="47"/>
      <c r="J152" s="47"/>
      <c r="K152" s="47"/>
    </row>
    <row r="153" spans="7:11" x14ac:dyDescent="0.25">
      <c r="G153" s="47"/>
      <c r="H153" s="47"/>
      <c r="I153" s="47"/>
      <c r="J153" s="47"/>
      <c r="K153" s="47"/>
    </row>
    <row r="154" spans="7:11" x14ac:dyDescent="0.25">
      <c r="G154" s="47"/>
      <c r="H154" s="47"/>
      <c r="I154" s="47"/>
      <c r="J154" s="47"/>
      <c r="K154" s="47"/>
    </row>
    <row r="155" spans="7:11" x14ac:dyDescent="0.25">
      <c r="G155" s="47"/>
      <c r="H155" s="47"/>
      <c r="I155" s="47"/>
      <c r="J155" s="47"/>
      <c r="K155" s="47"/>
    </row>
    <row r="156" spans="7:11" x14ac:dyDescent="0.25">
      <c r="G156" s="47"/>
      <c r="H156" s="47"/>
      <c r="I156" s="47"/>
      <c r="J156" s="47"/>
      <c r="K156" s="47"/>
    </row>
    <row r="157" spans="7:11" x14ac:dyDescent="0.25">
      <c r="G157" s="47"/>
      <c r="H157" s="47"/>
      <c r="I157" s="47"/>
      <c r="J157" s="47"/>
      <c r="K157" s="47"/>
    </row>
    <row r="158" spans="7:11" x14ac:dyDescent="0.25">
      <c r="G158" s="47"/>
      <c r="H158" s="47"/>
      <c r="I158" s="47"/>
      <c r="J158" s="47"/>
      <c r="K158" s="47"/>
    </row>
    <row r="159" spans="7:11" x14ac:dyDescent="0.25">
      <c r="G159" s="47"/>
      <c r="H159" s="47"/>
      <c r="I159" s="47"/>
      <c r="J159" s="47"/>
      <c r="K159" s="47"/>
    </row>
    <row r="160" spans="7:11" x14ac:dyDescent="0.25">
      <c r="G160" s="47"/>
      <c r="H160" s="47"/>
      <c r="I160" s="47"/>
      <c r="J160" s="47"/>
      <c r="K160" s="47"/>
    </row>
    <row r="161" spans="7:11" x14ac:dyDescent="0.25">
      <c r="G161" s="47"/>
      <c r="H161" s="47"/>
      <c r="I161" s="47"/>
      <c r="J161" s="47"/>
      <c r="K161" s="47"/>
    </row>
    <row r="162" spans="7:11" x14ac:dyDescent="0.25">
      <c r="G162" s="47"/>
      <c r="H162" s="47"/>
      <c r="I162" s="47"/>
      <c r="J162" s="47"/>
      <c r="K162" s="47"/>
    </row>
    <row r="163" spans="7:11" x14ac:dyDescent="0.25">
      <c r="G163" s="47"/>
      <c r="H163" s="47"/>
      <c r="I163" s="47"/>
      <c r="J163" s="47"/>
      <c r="K163" s="47"/>
    </row>
    <row r="164" spans="7:11" x14ac:dyDescent="0.25">
      <c r="G164" s="47"/>
      <c r="H164" s="47"/>
      <c r="I164" s="47"/>
      <c r="J164" s="47"/>
      <c r="K164" s="47"/>
    </row>
    <row r="165" spans="7:11" x14ac:dyDescent="0.25">
      <c r="G165" s="47"/>
      <c r="H165" s="47"/>
      <c r="I165" s="47"/>
      <c r="J165" s="47"/>
      <c r="K165" s="47"/>
    </row>
    <row r="166" spans="7:11" x14ac:dyDescent="0.25">
      <c r="G166" s="47"/>
      <c r="H166" s="47"/>
      <c r="I166" s="47"/>
      <c r="J166" s="47"/>
      <c r="K166" s="47"/>
    </row>
    <row r="167" spans="7:11" x14ac:dyDescent="0.25">
      <c r="G167" s="47"/>
      <c r="H167" s="47"/>
      <c r="I167" s="47"/>
      <c r="J167" s="47"/>
      <c r="K167" s="47"/>
    </row>
    <row r="168" spans="7:11" x14ac:dyDescent="0.25">
      <c r="G168" s="47"/>
      <c r="H168" s="47"/>
      <c r="I168" s="47"/>
      <c r="J168" s="47"/>
      <c r="K168" s="47"/>
    </row>
    <row r="169" spans="7:11" x14ac:dyDescent="0.25">
      <c r="G169" s="47"/>
      <c r="H169" s="47"/>
      <c r="I169" s="47"/>
      <c r="J169" s="47"/>
      <c r="K169" s="47"/>
    </row>
    <row r="170" spans="7:11" x14ac:dyDescent="0.25">
      <c r="G170" s="47"/>
      <c r="H170" s="47"/>
      <c r="I170" s="47"/>
      <c r="J170" s="47"/>
      <c r="K170" s="47"/>
    </row>
    <row r="171" spans="7:11" x14ac:dyDescent="0.25">
      <c r="G171" s="47"/>
      <c r="H171" s="47"/>
      <c r="I171" s="47"/>
      <c r="J171" s="47"/>
      <c r="K171" s="47"/>
    </row>
    <row r="172" spans="7:11" x14ac:dyDescent="0.25">
      <c r="G172" s="47"/>
      <c r="H172" s="47"/>
      <c r="I172" s="47"/>
      <c r="J172" s="47"/>
      <c r="K172" s="47"/>
    </row>
    <row r="173" spans="7:11" x14ac:dyDescent="0.25">
      <c r="G173" s="47"/>
      <c r="H173" s="47"/>
      <c r="I173" s="47"/>
      <c r="J173" s="47"/>
      <c r="K173" s="47"/>
    </row>
    <row r="174" spans="7:11" x14ac:dyDescent="0.25">
      <c r="G174" s="47"/>
      <c r="H174" s="47"/>
      <c r="I174" s="47"/>
      <c r="J174" s="47"/>
      <c r="K174" s="47"/>
    </row>
    <row r="175" spans="7:11" x14ac:dyDescent="0.25">
      <c r="G175" s="47"/>
      <c r="H175" s="47"/>
      <c r="I175" s="47"/>
      <c r="J175" s="47"/>
      <c r="K175" s="47"/>
    </row>
  </sheetData>
  <mergeCells count="8">
    <mergeCell ref="H82:M82"/>
    <mergeCell ref="I83:M83"/>
    <mergeCell ref="G83:G84"/>
    <mergeCell ref="G52:H52"/>
    <mergeCell ref="I65:M65"/>
    <mergeCell ref="H64:M64"/>
    <mergeCell ref="H73:M73"/>
    <mergeCell ref="I74:M74"/>
  </mergeCells>
  <conditionalFormatting sqref="I67:M71">
    <cfRule type="colorScale" priority="5">
      <colorScale>
        <cfvo type="min"/>
        <cfvo type="max"/>
        <color rgb="FFFFEF9C"/>
        <color rgb="FF63BE7B"/>
      </colorScale>
    </cfRule>
    <cfRule type="colorScale" priority="7">
      <colorScale>
        <cfvo type="min"/>
        <cfvo type="percentile" val="50"/>
        <cfvo type="max"/>
        <color rgb="FFF8696B"/>
        <color rgb="FFFFEB84"/>
        <color rgb="FF63BE7B"/>
      </colorScale>
    </cfRule>
  </conditionalFormatting>
  <conditionalFormatting sqref="I76:M80">
    <cfRule type="colorScale" priority="3">
      <colorScale>
        <cfvo type="min"/>
        <cfvo type="max"/>
        <color rgb="FFFFEF9C"/>
        <color rgb="FF63BE7B"/>
      </colorScale>
    </cfRule>
    <cfRule type="colorScale" priority="4">
      <colorScale>
        <cfvo type="min"/>
        <cfvo type="percentile" val="50"/>
        <cfvo type="max"/>
        <color rgb="FFF8696B"/>
        <color rgb="FFFFEB84"/>
        <color rgb="FF63BE7B"/>
      </colorScale>
    </cfRule>
  </conditionalFormatting>
  <conditionalFormatting sqref="I85:M89">
    <cfRule type="colorScale" priority="1">
      <colorScale>
        <cfvo type="min"/>
        <cfvo type="max"/>
        <color rgb="FFFFEF9C"/>
        <color rgb="FF63BE7B"/>
      </colorScale>
    </cfRule>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B2E4D-77CE-4249-BEF5-5E6BD47C4C3E}">
  <sheetPr>
    <tabColor theme="8" tint="-0.249977111117893"/>
  </sheetPr>
  <dimension ref="A1:R193"/>
  <sheetViews>
    <sheetView zoomScale="99" zoomScaleNormal="145" workbookViewId="0">
      <pane xSplit="6" ySplit="2" topLeftCell="G3" activePane="bottomRight" state="frozen"/>
      <selection pane="topRight" activeCell="G1" sqref="G1"/>
      <selection pane="bottomLeft" activeCell="A3" sqref="A3"/>
      <selection pane="bottomRight" activeCell="Q10" sqref="Q10"/>
    </sheetView>
  </sheetViews>
  <sheetFormatPr defaultRowHeight="15" x14ac:dyDescent="0.25"/>
  <cols>
    <col min="1" max="5" width="2.140625" customWidth="1"/>
    <col min="6" max="6" width="20.140625" customWidth="1"/>
    <col min="7" max="9" width="10" bestFit="1" customWidth="1"/>
    <col min="10" max="10" width="10" customWidth="1"/>
    <col min="11" max="11" width="10" bestFit="1" customWidth="1"/>
    <col min="16" max="16" width="14" customWidth="1"/>
    <col min="17" max="17" width="43" customWidth="1"/>
  </cols>
  <sheetData>
    <row r="1" spans="1:18" ht="23.25" x14ac:dyDescent="0.35">
      <c r="A1" s="2" t="str">
        <f>company.name&amp;" Debt Schedule"</f>
        <v>Legends Inc. Debt Schedule</v>
      </c>
    </row>
    <row r="2" spans="1:18" x14ac:dyDescent="0.25">
      <c r="G2" s="5" cm="1">
        <f t="array" ref="G2:I2">dates.hist</f>
        <v>2022</v>
      </c>
      <c r="H2" s="5">
        <v>2023</v>
      </c>
      <c r="I2" s="5">
        <v>2024</v>
      </c>
      <c r="J2" s="124" t="s">
        <v>204</v>
      </c>
      <c r="K2" s="28" cm="1">
        <f t="array" ref="K2:O2">dates.fcst</f>
        <v>2025</v>
      </c>
      <c r="L2" s="28">
        <v>2026</v>
      </c>
      <c r="M2" s="28">
        <v>2027</v>
      </c>
      <c r="N2" s="28">
        <v>2028</v>
      </c>
      <c r="O2" s="28">
        <v>2029</v>
      </c>
    </row>
    <row r="3" spans="1:18" x14ac:dyDescent="0.25">
      <c r="B3" t="s">
        <v>94</v>
      </c>
    </row>
    <row r="4" spans="1:18" x14ac:dyDescent="0.25">
      <c r="C4" t="s">
        <v>95</v>
      </c>
      <c r="G4" s="3">
        <v>2000</v>
      </c>
      <c r="H4" s="3">
        <v>1750</v>
      </c>
      <c r="I4" s="3">
        <v>1500</v>
      </c>
      <c r="J4" s="3"/>
      <c r="K4" s="26">
        <v>0</v>
      </c>
      <c r="L4" s="3">
        <f>+K4</f>
        <v>0</v>
      </c>
      <c r="M4" s="3">
        <f t="shared" ref="M4:P4" si="0">+L4</f>
        <v>0</v>
      </c>
      <c r="N4" s="3">
        <f t="shared" si="0"/>
        <v>0</v>
      </c>
      <c r="O4" s="3">
        <f t="shared" si="0"/>
        <v>0</v>
      </c>
      <c r="P4" s="3">
        <f t="shared" si="0"/>
        <v>0</v>
      </c>
      <c r="Q4" s="3"/>
      <c r="R4" s="3"/>
    </row>
    <row r="5" spans="1:18" x14ac:dyDescent="0.25">
      <c r="C5" t="s">
        <v>96</v>
      </c>
      <c r="G5" s="3">
        <v>2500</v>
      </c>
      <c r="H5" s="3">
        <f>+G5</f>
        <v>2500</v>
      </c>
      <c r="I5" s="3">
        <f>+H5</f>
        <v>2500</v>
      </c>
      <c r="J5" s="3"/>
      <c r="K5" s="3">
        <v>0</v>
      </c>
      <c r="L5" s="3">
        <v>0</v>
      </c>
      <c r="M5" s="3">
        <v>0</v>
      </c>
      <c r="N5" s="3">
        <v>0</v>
      </c>
      <c r="O5" s="3">
        <v>0</v>
      </c>
      <c r="P5" s="3">
        <v>0</v>
      </c>
      <c r="Q5" s="3"/>
      <c r="R5" s="3"/>
    </row>
    <row r="6" spans="1:18" x14ac:dyDescent="0.25">
      <c r="C6" t="s">
        <v>97</v>
      </c>
      <c r="G6" s="3">
        <v>3500</v>
      </c>
      <c r="H6" s="3">
        <v>3500</v>
      </c>
      <c r="I6" s="3">
        <v>1500</v>
      </c>
      <c r="J6" s="3"/>
      <c r="K6" s="3">
        <v>0</v>
      </c>
      <c r="L6" s="3">
        <f t="shared" ref="L6:P6" si="1">+K6</f>
        <v>0</v>
      </c>
      <c r="M6" s="3">
        <f t="shared" si="1"/>
        <v>0</v>
      </c>
      <c r="N6" s="3">
        <f t="shared" si="1"/>
        <v>0</v>
      </c>
      <c r="O6" s="3">
        <f t="shared" si="1"/>
        <v>0</v>
      </c>
      <c r="P6" s="3">
        <f t="shared" si="1"/>
        <v>0</v>
      </c>
      <c r="Q6" s="3"/>
      <c r="R6" s="3"/>
    </row>
    <row r="7" spans="1:18" x14ac:dyDescent="0.25">
      <c r="C7" t="s">
        <v>205</v>
      </c>
      <c r="G7" s="3">
        <v>0</v>
      </c>
      <c r="H7" s="3">
        <v>0</v>
      </c>
      <c r="I7" s="3">
        <v>0</v>
      </c>
      <c r="J7" s="3">
        <f>LBO.Revolver</f>
        <v>18000</v>
      </c>
      <c r="K7" s="3">
        <f ca="1">+J7+K26+K27</f>
        <v>15814.109361979317</v>
      </c>
      <c r="L7" s="3">
        <f t="shared" ref="L7:P7" ca="1" si="2">+K7+L26+L27</f>
        <v>13445.450961751978</v>
      </c>
      <c r="M7" s="3">
        <f t="shared" ca="1" si="2"/>
        <v>10465.325578478016</v>
      </c>
      <c r="N7" s="3">
        <f t="shared" ca="1" si="2"/>
        <v>7149.9307191495245</v>
      </c>
      <c r="O7" s="3">
        <f t="shared" ca="1" si="2"/>
        <v>3304.3301739438393</v>
      </c>
      <c r="P7" s="3">
        <f t="shared" ca="1" si="2"/>
        <v>1804.3301739438393</v>
      </c>
      <c r="Q7" s="3"/>
      <c r="R7" s="3"/>
    </row>
    <row r="8" spans="1:18" x14ac:dyDescent="0.25">
      <c r="C8" t="s">
        <v>206</v>
      </c>
      <c r="G8" s="3">
        <v>0</v>
      </c>
      <c r="H8" s="3">
        <v>0</v>
      </c>
      <c r="I8" s="3">
        <v>0</v>
      </c>
      <c r="J8" s="3">
        <f>LBO.Junk</f>
        <v>18000</v>
      </c>
      <c r="K8" s="3">
        <f>+J8</f>
        <v>18000</v>
      </c>
      <c r="L8" s="3">
        <f t="shared" ref="L8:O8" si="3">+K8</f>
        <v>18000</v>
      </c>
      <c r="M8" s="3">
        <f t="shared" si="3"/>
        <v>18000</v>
      </c>
      <c r="N8" s="3">
        <f t="shared" si="3"/>
        <v>18000</v>
      </c>
      <c r="O8" s="3">
        <f t="shared" si="3"/>
        <v>18000</v>
      </c>
      <c r="P8" s="3">
        <f t="shared" ref="P8" si="4">+O8</f>
        <v>18000</v>
      </c>
      <c r="Q8" s="3"/>
      <c r="R8" s="3"/>
    </row>
    <row r="9" spans="1:18" x14ac:dyDescent="0.25">
      <c r="B9" t="s">
        <v>98</v>
      </c>
      <c r="G9" s="19">
        <f t="shared" ref="G9:P9" si="5">SUM(G4:G8)</f>
        <v>8000</v>
      </c>
      <c r="H9" s="19">
        <f t="shared" si="5"/>
        <v>7750</v>
      </c>
      <c r="I9" s="19">
        <f t="shared" si="5"/>
        <v>5500</v>
      </c>
      <c r="J9" s="19">
        <f>SUM(J4:J8)</f>
        <v>36000</v>
      </c>
      <c r="K9" s="19">
        <f t="shared" ca="1" si="5"/>
        <v>33814.109361979317</v>
      </c>
      <c r="L9" s="19">
        <f t="shared" ca="1" si="5"/>
        <v>31445.45096175198</v>
      </c>
      <c r="M9" s="19">
        <f t="shared" ca="1" si="5"/>
        <v>28465.325578478016</v>
      </c>
      <c r="N9" s="19">
        <f t="shared" ca="1" si="5"/>
        <v>25149.930719149525</v>
      </c>
      <c r="O9" s="19">
        <f t="shared" ca="1" si="5"/>
        <v>21304.330173943839</v>
      </c>
      <c r="P9" s="19">
        <f t="shared" ca="1" si="5"/>
        <v>19804.330173943839</v>
      </c>
      <c r="Q9" s="3"/>
      <c r="R9" s="3"/>
    </row>
    <row r="10" spans="1:18" x14ac:dyDescent="0.25">
      <c r="G10" s="20"/>
      <c r="H10" s="20"/>
      <c r="I10" s="20" t="s">
        <v>99</v>
      </c>
      <c r="J10" s="20"/>
      <c r="K10" s="20"/>
      <c r="L10" s="3"/>
      <c r="M10" s="3"/>
      <c r="N10" s="3"/>
      <c r="O10" s="3"/>
      <c r="Q10" s="3"/>
      <c r="R10" s="3"/>
    </row>
    <row r="11" spans="1:18" x14ac:dyDescent="0.25">
      <c r="B11" t="s">
        <v>100</v>
      </c>
      <c r="G11" s="20"/>
      <c r="H11" s="20"/>
      <c r="I11" s="20"/>
      <c r="J11" s="20"/>
      <c r="K11" s="20"/>
      <c r="L11" s="3"/>
      <c r="M11" s="3"/>
      <c r="N11" s="3"/>
      <c r="O11" s="3"/>
      <c r="Q11" s="3"/>
      <c r="R11" s="3"/>
    </row>
    <row r="12" spans="1:18" x14ac:dyDescent="0.25">
      <c r="C12" t="str" cm="1">
        <f t="array" ref="C12:C16">+C4:C8</f>
        <v>Huntington</v>
      </c>
      <c r="G12" s="21">
        <v>6.4500000000000002E-2</v>
      </c>
      <c r="H12" s="21">
        <f>+G12</f>
        <v>6.4500000000000002E-2</v>
      </c>
      <c r="I12" s="21">
        <f>+H12</f>
        <v>6.4500000000000002E-2</v>
      </c>
      <c r="J12" s="21"/>
      <c r="K12" s="21">
        <f>+I12</f>
        <v>6.4500000000000002E-2</v>
      </c>
      <c r="L12" s="21">
        <f t="shared" ref="L12:O16" si="6">+K12</f>
        <v>6.4500000000000002E-2</v>
      </c>
      <c r="M12" s="21">
        <f t="shared" si="6"/>
        <v>6.4500000000000002E-2</v>
      </c>
      <c r="N12" s="21">
        <f t="shared" si="6"/>
        <v>6.4500000000000002E-2</v>
      </c>
      <c r="O12" s="21">
        <f t="shared" si="6"/>
        <v>6.4500000000000002E-2</v>
      </c>
      <c r="P12" s="21"/>
      <c r="Q12" s="3"/>
      <c r="R12" s="3"/>
    </row>
    <row r="13" spans="1:18" x14ac:dyDescent="0.25">
      <c r="C13" t="str">
        <v>PNC</v>
      </c>
      <c r="G13" s="21">
        <v>7.2499999999999995E-2</v>
      </c>
      <c r="H13" s="21">
        <f t="shared" ref="H13:I13" si="7">+G13</f>
        <v>7.2499999999999995E-2</v>
      </c>
      <c r="I13" s="21">
        <f t="shared" si="7"/>
        <v>7.2499999999999995E-2</v>
      </c>
      <c r="J13" s="21"/>
      <c r="K13" s="21">
        <f>+I13</f>
        <v>7.2499999999999995E-2</v>
      </c>
      <c r="L13" s="21">
        <f t="shared" si="6"/>
        <v>7.2499999999999995E-2</v>
      </c>
      <c r="M13" s="21">
        <f t="shared" si="6"/>
        <v>7.2499999999999995E-2</v>
      </c>
      <c r="N13" s="21">
        <f t="shared" si="6"/>
        <v>7.2499999999999995E-2</v>
      </c>
      <c r="O13" s="21">
        <f t="shared" si="6"/>
        <v>7.2499999999999995E-2</v>
      </c>
      <c r="P13" s="21"/>
      <c r="Q13" s="3"/>
      <c r="R13" s="3"/>
    </row>
    <row r="14" spans="1:18" x14ac:dyDescent="0.25">
      <c r="C14" t="str">
        <v>Keybank</v>
      </c>
      <c r="G14" s="21">
        <v>6.1499999999999999E-2</v>
      </c>
      <c r="H14" s="21">
        <f t="shared" ref="H14:I14" si="8">+G14</f>
        <v>6.1499999999999999E-2</v>
      </c>
      <c r="I14" s="21">
        <f t="shared" si="8"/>
        <v>6.1499999999999999E-2</v>
      </c>
      <c r="J14" s="21"/>
      <c r="K14" s="21">
        <f>+I14</f>
        <v>6.1499999999999999E-2</v>
      </c>
      <c r="L14" s="21">
        <f t="shared" si="6"/>
        <v>6.1499999999999999E-2</v>
      </c>
      <c r="M14" s="21">
        <f t="shared" si="6"/>
        <v>6.1499999999999999E-2</v>
      </c>
      <c r="N14" s="21">
        <f t="shared" si="6"/>
        <v>6.1499999999999999E-2</v>
      </c>
      <c r="O14" s="21">
        <f t="shared" si="6"/>
        <v>6.1499999999999999E-2</v>
      </c>
      <c r="P14" s="21"/>
      <c r="Q14" s="3"/>
    </row>
    <row r="15" spans="1:18" x14ac:dyDescent="0.25">
      <c r="C15" t="str">
        <v>Revolver</v>
      </c>
      <c r="G15" s="21">
        <v>0</v>
      </c>
      <c r="H15" s="21">
        <f t="shared" ref="H15:I15" si="9">+G15</f>
        <v>0</v>
      </c>
      <c r="I15" s="21">
        <f t="shared" si="9"/>
        <v>0</v>
      </c>
      <c r="J15" s="21"/>
      <c r="K15" s="21">
        <v>8.5000000000000006E-2</v>
      </c>
      <c r="L15" s="21">
        <f t="shared" si="6"/>
        <v>8.5000000000000006E-2</v>
      </c>
      <c r="M15" s="21">
        <f t="shared" si="6"/>
        <v>8.5000000000000006E-2</v>
      </c>
      <c r="N15" s="21">
        <f t="shared" si="6"/>
        <v>8.5000000000000006E-2</v>
      </c>
      <c r="O15" s="21">
        <f t="shared" si="6"/>
        <v>8.5000000000000006E-2</v>
      </c>
      <c r="P15" s="21"/>
      <c r="Q15" s="3"/>
    </row>
    <row r="16" spans="1:18" x14ac:dyDescent="0.25">
      <c r="C16" t="str">
        <v>Subordinated Debt</v>
      </c>
      <c r="G16" s="21">
        <v>0</v>
      </c>
      <c r="H16" s="21">
        <f t="shared" ref="H16:I16" si="10">+G16</f>
        <v>0</v>
      </c>
      <c r="I16" s="21">
        <f t="shared" si="10"/>
        <v>0</v>
      </c>
      <c r="J16" s="21"/>
      <c r="K16" s="21">
        <v>0.11</v>
      </c>
      <c r="L16" s="21">
        <f t="shared" si="6"/>
        <v>0.11</v>
      </c>
      <c r="M16" s="21">
        <f t="shared" si="6"/>
        <v>0.11</v>
      </c>
      <c r="N16" s="21">
        <f t="shared" si="6"/>
        <v>0.11</v>
      </c>
      <c r="O16" s="21">
        <f t="shared" si="6"/>
        <v>0.11</v>
      </c>
      <c r="P16" s="21"/>
      <c r="Q16" s="3"/>
    </row>
    <row r="17" spans="2:17" x14ac:dyDescent="0.25">
      <c r="G17" s="20"/>
      <c r="H17" s="20"/>
      <c r="I17" s="22"/>
      <c r="J17" s="22"/>
      <c r="K17" s="20"/>
      <c r="L17" s="3"/>
      <c r="M17" s="3"/>
      <c r="N17" s="3"/>
      <c r="O17" s="3"/>
      <c r="Q17" s="3"/>
    </row>
    <row r="18" spans="2:17" x14ac:dyDescent="0.25">
      <c r="B18" t="s">
        <v>38</v>
      </c>
      <c r="G18" s="20">
        <f>SUMPRODUCT(G4:G8,G12:G16)</f>
        <v>525.5</v>
      </c>
      <c r="H18" s="20">
        <f t="shared" ref="H18:O18" si="11">SUMPRODUCT(H4:H8,H12:H16)</f>
        <v>509.375</v>
      </c>
      <c r="I18" s="34">
        <f t="shared" si="11"/>
        <v>370.25</v>
      </c>
      <c r="J18" s="34"/>
      <c r="K18" s="35">
        <f ca="1">SUMPRODUCT(K4:K8,K12:K16)</f>
        <v>3324.1992957682423</v>
      </c>
      <c r="L18" s="35">
        <f t="shared" ca="1" si="11"/>
        <v>3122.8633317489184</v>
      </c>
      <c r="M18" s="35">
        <f t="shared" ca="1" si="11"/>
        <v>2869.5526741706317</v>
      </c>
      <c r="N18" s="35">
        <f t="shared" ca="1" si="11"/>
        <v>2587.7441111277094</v>
      </c>
      <c r="O18" s="35">
        <f t="shared" ca="1" si="11"/>
        <v>2260.8680647852261</v>
      </c>
      <c r="P18" s="34"/>
      <c r="Q18" s="3"/>
    </row>
    <row r="19" spans="2:17" x14ac:dyDescent="0.25">
      <c r="G19" s="20"/>
      <c r="H19" s="20"/>
      <c r="I19" s="20"/>
      <c r="J19" s="20"/>
      <c r="K19" s="20"/>
      <c r="L19" s="3"/>
      <c r="M19" s="3"/>
      <c r="N19" s="3"/>
      <c r="O19" s="3"/>
      <c r="Q19" s="3"/>
    </row>
    <row r="20" spans="2:17" x14ac:dyDescent="0.25">
      <c r="B20" t="s">
        <v>101</v>
      </c>
      <c r="G20" s="20"/>
      <c r="H20" s="20"/>
      <c r="I20" s="20"/>
      <c r="J20" s="20"/>
      <c r="K20" s="20"/>
      <c r="L20" s="3"/>
      <c r="M20" s="3"/>
      <c r="N20" s="3"/>
      <c r="O20" s="3"/>
      <c r="Q20" s="3"/>
    </row>
    <row r="21" spans="2:17" x14ac:dyDescent="0.25">
      <c r="C21" t="s">
        <v>102</v>
      </c>
      <c r="G21" s="20">
        <f>+G9-H9</f>
        <v>250</v>
      </c>
      <c r="H21" s="20">
        <f t="shared" ref="H21:O21" si="12">+H9-I9</f>
        <v>2250</v>
      </c>
      <c r="I21" s="20">
        <v>900</v>
      </c>
      <c r="J21" s="30">
        <f t="shared" ca="1" si="12"/>
        <v>2185.8906380206827</v>
      </c>
      <c r="K21" s="30">
        <f t="shared" ca="1" si="12"/>
        <v>2368.6584002273376</v>
      </c>
      <c r="L21" s="30">
        <f t="shared" ca="1" si="12"/>
        <v>2980.125383273964</v>
      </c>
      <c r="M21" s="30">
        <f t="shared" ca="1" si="12"/>
        <v>3315.3948593284913</v>
      </c>
      <c r="N21" s="30">
        <f t="shared" ca="1" si="12"/>
        <v>3845.6005452056852</v>
      </c>
      <c r="O21" s="30">
        <f t="shared" ca="1" si="12"/>
        <v>1500</v>
      </c>
      <c r="Q21" s="3"/>
    </row>
    <row r="22" spans="2:17" x14ac:dyDescent="0.25">
      <c r="C22" t="s">
        <v>65</v>
      </c>
      <c r="G22" s="20">
        <f>+G9-G21</f>
        <v>7750</v>
      </c>
      <c r="H22" s="20">
        <f t="shared" ref="H22:O22" si="13">+H9-H21</f>
        <v>5500</v>
      </c>
      <c r="I22" s="20">
        <f t="shared" si="13"/>
        <v>4600</v>
      </c>
      <c r="J22" s="30">
        <f t="shared" ref="J22" ca="1" si="14">+J9-J21</f>
        <v>33814.109361979317</v>
      </c>
      <c r="K22" s="30">
        <f t="shared" ca="1" si="13"/>
        <v>31445.45096175198</v>
      </c>
      <c r="L22" s="30">
        <f t="shared" ca="1" si="13"/>
        <v>28465.325578478016</v>
      </c>
      <c r="M22" s="30">
        <f t="shared" ca="1" si="13"/>
        <v>25149.930719149525</v>
      </c>
      <c r="N22" s="30">
        <f t="shared" ca="1" si="13"/>
        <v>21304.330173943839</v>
      </c>
      <c r="O22" s="30">
        <f t="shared" ca="1" si="13"/>
        <v>19804.330173943839</v>
      </c>
      <c r="Q22" s="3"/>
    </row>
    <row r="23" spans="2:17" x14ac:dyDescent="0.25">
      <c r="G23" s="3"/>
      <c r="H23" s="3"/>
      <c r="I23" s="3"/>
      <c r="J23" s="3"/>
      <c r="K23" s="3"/>
      <c r="L23" s="3"/>
      <c r="M23" s="3"/>
      <c r="N23" s="3"/>
      <c r="O23" s="3"/>
      <c r="Q23" s="3"/>
    </row>
    <row r="24" spans="2:17" x14ac:dyDescent="0.25">
      <c r="B24" t="s">
        <v>207</v>
      </c>
      <c r="G24" s="3"/>
      <c r="H24" s="3"/>
      <c r="I24" s="3"/>
      <c r="J24" s="3"/>
      <c r="K24" s="3"/>
      <c r="L24" s="3"/>
      <c r="M24" s="3"/>
      <c r="N24" s="3"/>
      <c r="O24" s="3"/>
      <c r="Q24" s="3"/>
    </row>
    <row r="25" spans="2:17" x14ac:dyDescent="0.25">
      <c r="C25" t="s">
        <v>208</v>
      </c>
      <c r="G25" s="3"/>
      <c r="H25" s="3"/>
      <c r="I25" s="3"/>
      <c r="J25" s="3"/>
      <c r="K25" s="3"/>
      <c r="L25" s="3"/>
      <c r="M25" s="3"/>
      <c r="N25" s="3"/>
      <c r="O25" s="3"/>
    </row>
    <row r="26" spans="2:17" x14ac:dyDescent="0.25">
      <c r="D26" t="s">
        <v>209</v>
      </c>
      <c r="G26" s="3"/>
      <c r="H26" s="3"/>
      <c r="I26" s="3"/>
      <c r="J26" s="3"/>
      <c r="K26" s="3">
        <v>-1500</v>
      </c>
      <c r="L26" s="3">
        <f>+K26</f>
        <v>-1500</v>
      </c>
      <c r="M26" s="3">
        <f t="shared" ref="M26:P26" si="15">+L26</f>
        <v>-1500</v>
      </c>
      <c r="N26" s="3">
        <f t="shared" si="15"/>
        <v>-1500</v>
      </c>
      <c r="O26" s="3">
        <f t="shared" si="15"/>
        <v>-1500</v>
      </c>
      <c r="P26" s="3">
        <f t="shared" si="15"/>
        <v>-1500</v>
      </c>
    </row>
    <row r="27" spans="2:17" x14ac:dyDescent="0.25">
      <c r="D27" t="s">
        <v>210</v>
      </c>
      <c r="G27" s="3"/>
      <c r="H27" s="3"/>
      <c r="I27" s="3"/>
      <c r="J27" s="3"/>
      <c r="K27" s="3" cm="1">
        <f t="array" aca="1" ref="K27:O27" ca="1">variable.Paydown</f>
        <v>-685.89063802068176</v>
      </c>
      <c r="L27" s="3">
        <f ca="1"/>
        <v>-868.65840022733892</v>
      </c>
      <c r="M27" s="3">
        <f ca="1"/>
        <v>-1480.1253832739617</v>
      </c>
      <c r="N27" s="3">
        <f ca="1"/>
        <v>-1815.3948593284908</v>
      </c>
      <c r="O27" s="3">
        <f ca="1"/>
        <v>-2345.6005452056816</v>
      </c>
    </row>
    <row r="28" spans="2:17" x14ac:dyDescent="0.25">
      <c r="G28" s="3"/>
      <c r="H28" s="3"/>
      <c r="I28" s="3"/>
      <c r="J28" s="3"/>
      <c r="K28" s="3"/>
      <c r="L28" s="3"/>
      <c r="M28" s="3"/>
      <c r="N28" s="3"/>
      <c r="O28" s="3"/>
    </row>
    <row r="29" spans="2:17" x14ac:dyDescent="0.25">
      <c r="B29" t="s">
        <v>211</v>
      </c>
      <c r="G29" s="3"/>
      <c r="H29" s="3"/>
      <c r="I29" s="3"/>
      <c r="J29" s="3"/>
      <c r="K29" s="3"/>
      <c r="L29" s="3"/>
      <c r="M29" s="3"/>
      <c r="N29" s="3"/>
      <c r="O29" s="3"/>
    </row>
    <row r="30" spans="2:17" x14ac:dyDescent="0.25">
      <c r="C30" t="s">
        <v>212</v>
      </c>
      <c r="G30" s="3"/>
      <c r="H30" s="3"/>
      <c r="I30" s="3"/>
      <c r="J30" s="3"/>
      <c r="K30" s="3"/>
      <c r="L30" s="3"/>
      <c r="M30" s="3"/>
      <c r="N30" s="3"/>
      <c r="O30" s="3"/>
    </row>
    <row r="31" spans="2:17" x14ac:dyDescent="0.25">
      <c r="D31" t="s">
        <v>41</v>
      </c>
      <c r="G31" s="3"/>
      <c r="H31" s="3"/>
      <c r="I31" s="3"/>
      <c r="J31" s="3"/>
      <c r="K31" s="3" cm="1">
        <f t="array" aca="1" ref="K31:O31" ca="1">F.Net.Income</f>
        <v>698.37543400136383</v>
      </c>
      <c r="L31" s="3">
        <f ca="1"/>
        <v>942.08058946095298</v>
      </c>
      <c r="M31" s="3">
        <f ca="1"/>
        <v>1316.4305540945677</v>
      </c>
      <c r="N31" s="3">
        <f ca="1"/>
        <v>1759.3792540080726</v>
      </c>
      <c r="O31" s="3">
        <f ca="1"/>
        <v>2189.155317042867</v>
      </c>
    </row>
    <row r="32" spans="2:17" x14ac:dyDescent="0.25">
      <c r="D32" t="s">
        <v>213</v>
      </c>
      <c r="G32" s="3"/>
      <c r="H32" s="3"/>
      <c r="I32" s="3"/>
      <c r="J32" s="3"/>
      <c r="K32" s="3"/>
      <c r="L32" s="3"/>
      <c r="M32" s="3"/>
      <c r="N32" s="3"/>
      <c r="O32" s="3"/>
    </row>
    <row r="33" spans="3:15" x14ac:dyDescent="0.25">
      <c r="E33" t="s">
        <v>214</v>
      </c>
      <c r="G33" s="3"/>
      <c r="H33" s="3"/>
      <c r="I33" s="3"/>
      <c r="J33" s="3"/>
      <c r="K33" s="3" cm="1">
        <f t="array" ref="K33:O33">p.f.depreciation.expense</f>
        <v>1000</v>
      </c>
      <c r="L33" s="3">
        <v>1000</v>
      </c>
      <c r="M33" s="3">
        <v>1000</v>
      </c>
      <c r="N33" s="3">
        <v>1000</v>
      </c>
      <c r="O33" s="3">
        <v>1000</v>
      </c>
    </row>
    <row r="34" spans="3:15" x14ac:dyDescent="0.25">
      <c r="E34" t="s">
        <v>215</v>
      </c>
      <c r="G34" s="3"/>
      <c r="H34" s="3"/>
      <c r="I34" s="3"/>
      <c r="J34" s="3"/>
      <c r="K34" s="3" cm="1">
        <f t="array" ref="K34:O34">p.f.amortization.expense</f>
        <v>2476.6996626755363</v>
      </c>
      <c r="L34" s="3">
        <v>2476.6996626755363</v>
      </c>
      <c r="M34" s="3">
        <v>2476.6996626755363</v>
      </c>
      <c r="N34" s="3">
        <v>2476.6996626755363</v>
      </c>
      <c r="O34" s="3">
        <v>2476.6996626755363</v>
      </c>
    </row>
    <row r="35" spans="3:15" x14ac:dyDescent="0.25">
      <c r="D35" t="s">
        <v>216</v>
      </c>
      <c r="G35" s="3"/>
      <c r="H35" s="3"/>
      <c r="I35" s="3"/>
      <c r="J35" s="3"/>
      <c r="K35" s="3">
        <v>0</v>
      </c>
      <c r="L35" s="3">
        <v>0</v>
      </c>
      <c r="M35" s="3">
        <v>0</v>
      </c>
      <c r="N35" s="3">
        <v>0</v>
      </c>
      <c r="O35" s="3">
        <v>0</v>
      </c>
    </row>
    <row r="36" spans="3:15" x14ac:dyDescent="0.25">
      <c r="D36" t="s">
        <v>80</v>
      </c>
      <c r="G36" s="3"/>
      <c r="H36" s="3"/>
      <c r="I36" s="3"/>
      <c r="J36" s="3"/>
      <c r="K36" s="3" cm="1">
        <f t="array" ref="K36:O36">F.Delta.Working.Capital</f>
        <v>103.760860354123</v>
      </c>
      <c r="L36" s="3">
        <v>-37.265311300651774</v>
      </c>
      <c r="M36" s="3">
        <v>124.15692833142134</v>
      </c>
      <c r="N36" s="3">
        <v>-34.468438414073717</v>
      </c>
      <c r="O36" s="3">
        <v>137.95621789639767</v>
      </c>
    </row>
    <row r="37" spans="3:15" x14ac:dyDescent="0.25">
      <c r="D37" t="s">
        <v>83</v>
      </c>
      <c r="G37" s="3"/>
      <c r="H37" s="3"/>
      <c r="I37" s="3"/>
      <c r="J37" s="3"/>
      <c r="K37" s="3" cm="1">
        <f t="array" ref="K37:O37">-p.f.capex</f>
        <v>-1750</v>
      </c>
      <c r="L37" s="3">
        <v>-1750</v>
      </c>
      <c r="M37" s="3">
        <v>-1500</v>
      </c>
      <c r="N37" s="3">
        <v>-1500</v>
      </c>
      <c r="O37" s="3">
        <v>-1500</v>
      </c>
    </row>
    <row r="38" spans="3:15" x14ac:dyDescent="0.25">
      <c r="C38" t="s">
        <v>220</v>
      </c>
      <c r="G38" s="3"/>
      <c r="H38" s="3"/>
      <c r="I38" s="3"/>
      <c r="J38" s="3"/>
      <c r="K38" s="6">
        <f ca="1">SUM(K31:K37)</f>
        <v>2528.8359570310231</v>
      </c>
      <c r="L38" s="6">
        <f t="shared" ref="L38:O38" ca="1" si="16">SUM(L31:L37)</f>
        <v>2631.5149408358375</v>
      </c>
      <c r="M38" s="6">
        <f t="shared" ca="1" si="16"/>
        <v>3417.2871451015253</v>
      </c>
      <c r="N38" s="6">
        <f t="shared" ca="1" si="16"/>
        <v>3701.6104782695356</v>
      </c>
      <c r="O38" s="6">
        <f t="shared" ca="1" si="16"/>
        <v>4303.8111976148011</v>
      </c>
    </row>
    <row r="39" spans="3:15" x14ac:dyDescent="0.25">
      <c r="G39" s="3"/>
      <c r="H39" s="3"/>
      <c r="I39" s="3"/>
      <c r="J39" s="3"/>
      <c r="K39" s="3"/>
      <c r="L39" s="3"/>
      <c r="M39" s="3"/>
      <c r="N39" s="3"/>
      <c r="O39" s="3"/>
    </row>
    <row r="40" spans="3:15" x14ac:dyDescent="0.25">
      <c r="C40" t="s">
        <v>217</v>
      </c>
      <c r="G40" s="3"/>
      <c r="H40" s="3"/>
      <c r="I40" s="3"/>
      <c r="J40" s="3"/>
      <c r="K40" s="3" cm="1">
        <f t="array" aca="1" ref="K40:O40" ca="1">F.Cash</f>
        <v>5342.9453190103404</v>
      </c>
      <c r="L40" s="3">
        <f ca="1"/>
        <v>5605.8018596188404</v>
      </c>
      <c r="M40" s="3">
        <f ca="1"/>
        <v>6042.9636214464017</v>
      </c>
      <c r="N40" s="3">
        <f ca="1"/>
        <v>6429.1792403874424</v>
      </c>
      <c r="O40" s="3">
        <f ca="1"/>
        <v>6887.389892796562</v>
      </c>
    </row>
    <row r="41" spans="3:15" x14ac:dyDescent="0.25">
      <c r="D41" t="s">
        <v>218</v>
      </c>
      <c r="G41" s="3"/>
      <c r="H41" s="3"/>
      <c r="I41" s="3"/>
      <c r="J41" s="3"/>
      <c r="K41" s="3">
        <f>-Min.Cash</f>
        <v>-5000</v>
      </c>
      <c r="L41" s="3">
        <f>-Min.Cash</f>
        <v>-5000</v>
      </c>
      <c r="M41" s="3">
        <f>-Min.Cash</f>
        <v>-5000</v>
      </c>
      <c r="N41" s="3">
        <f>-Min.Cash</f>
        <v>-5000</v>
      </c>
      <c r="O41" s="3">
        <f>-Min.Cash</f>
        <v>-5000</v>
      </c>
    </row>
    <row r="42" spans="3:15" x14ac:dyDescent="0.25">
      <c r="D42" t="s">
        <v>219</v>
      </c>
      <c r="G42" s="3"/>
      <c r="H42" s="3"/>
      <c r="I42" s="3"/>
      <c r="J42" s="3"/>
      <c r="K42" s="3" cm="1">
        <f t="array" aca="1" ref="K42:O42" ca="1">K38:O38</f>
        <v>2528.8359570310231</v>
      </c>
      <c r="L42" s="3">
        <f ca="1"/>
        <v>2631.5149408358375</v>
      </c>
      <c r="M42" s="3">
        <f ca="1"/>
        <v>3417.2871451015253</v>
      </c>
      <c r="N42" s="3">
        <f ca="1"/>
        <v>3701.6104782695356</v>
      </c>
      <c r="O42" s="3">
        <f ca="1"/>
        <v>4303.8111976148011</v>
      </c>
    </row>
    <row r="43" spans="3:15" x14ac:dyDescent="0.25">
      <c r="E43" t="s">
        <v>221</v>
      </c>
      <c r="G43" s="3"/>
      <c r="H43" s="3"/>
      <c r="I43" s="3"/>
      <c r="J43" s="3"/>
      <c r="K43" s="6">
        <f ca="1">SUM(K40:K42)</f>
        <v>2871.7812760413635</v>
      </c>
      <c r="L43" s="6">
        <f t="shared" ref="L43:O43" ca="1" si="17">SUM(L40:L42)</f>
        <v>3237.3168004546778</v>
      </c>
      <c r="M43" s="6">
        <f t="shared" ca="1" si="17"/>
        <v>4460.250766547927</v>
      </c>
      <c r="N43" s="6">
        <f t="shared" ca="1" si="17"/>
        <v>5130.789718656978</v>
      </c>
      <c r="O43" s="6">
        <f t="shared" ca="1" si="17"/>
        <v>6191.2010904113631</v>
      </c>
    </row>
    <row r="44" spans="3:15" x14ac:dyDescent="0.25">
      <c r="F44" t="s">
        <v>222</v>
      </c>
      <c r="G44" s="3"/>
      <c r="H44" s="3"/>
      <c r="I44" s="3"/>
      <c r="J44" s="3"/>
      <c r="K44" s="3" cm="1">
        <f t="array" ref="K44:O44">+K26:O26</f>
        <v>-1500</v>
      </c>
      <c r="L44" s="3">
        <v>-1500</v>
      </c>
      <c r="M44" s="3">
        <v>-1500</v>
      </c>
      <c r="N44" s="3">
        <v>-1500</v>
      </c>
      <c r="O44" s="3">
        <v>-1500</v>
      </c>
    </row>
    <row r="45" spans="3:15" x14ac:dyDescent="0.25">
      <c r="E45" t="s">
        <v>223</v>
      </c>
      <c r="G45" s="3"/>
      <c r="H45" s="3"/>
      <c r="I45" s="3"/>
      <c r="J45" s="3"/>
      <c r="K45" s="6" cm="1">
        <f t="array" aca="1" ref="K45:O45" ca="1">K43:O43+_xlfn.ANCHORARRAY(K44)</f>
        <v>1371.7812760413635</v>
      </c>
      <c r="L45" s="6">
        <f ca="1"/>
        <v>1737.3168004546778</v>
      </c>
      <c r="M45" s="6">
        <f ca="1"/>
        <v>2960.250766547927</v>
      </c>
      <c r="N45" s="6">
        <f ca="1"/>
        <v>3630.789718656978</v>
      </c>
      <c r="O45" s="6">
        <f ca="1"/>
        <v>4691.2010904113631</v>
      </c>
    </row>
    <row r="46" spans="3:15" x14ac:dyDescent="0.25">
      <c r="F46" t="s">
        <v>224</v>
      </c>
      <c r="G46" s="3"/>
      <c r="H46" s="3"/>
      <c r="I46" s="4">
        <v>0.5</v>
      </c>
      <c r="J46" s="3"/>
      <c r="K46" s="3" cm="1">
        <f t="array" aca="1" ref="K46:O46" ca="1">-I46*_xlfn.ANCHORARRAY(K45)</f>
        <v>-685.89063802068176</v>
      </c>
      <c r="L46" s="3">
        <f ca="1"/>
        <v>-868.65840022733892</v>
      </c>
      <c r="M46" s="3">
        <f ca="1"/>
        <v>-1480.1253832739635</v>
      </c>
      <c r="N46" s="3">
        <f ca="1"/>
        <v>-1815.394859328489</v>
      </c>
      <c r="O46" s="3">
        <f ca="1"/>
        <v>-2345.6005452056816</v>
      </c>
    </row>
    <row r="47" spans="3:15" x14ac:dyDescent="0.25">
      <c r="G47" s="3"/>
      <c r="H47" s="3"/>
      <c r="I47" s="3"/>
      <c r="J47" s="3"/>
      <c r="K47" s="3"/>
      <c r="L47" s="3"/>
      <c r="M47" s="3"/>
      <c r="N47" s="3"/>
      <c r="O47" s="3"/>
    </row>
    <row r="48" spans="3:15" x14ac:dyDescent="0.25">
      <c r="G48" s="3"/>
      <c r="H48" s="3"/>
      <c r="I48" s="3"/>
      <c r="J48" s="3"/>
      <c r="K48" s="3"/>
      <c r="L48" s="3"/>
      <c r="M48" s="3"/>
      <c r="N48" s="3"/>
      <c r="O48" s="3"/>
    </row>
    <row r="49" spans="7:15" x14ac:dyDescent="0.25">
      <c r="G49" s="3"/>
      <c r="H49" s="3"/>
      <c r="I49" s="3"/>
      <c r="J49" s="3"/>
      <c r="K49" s="3"/>
      <c r="L49" s="3"/>
      <c r="M49" s="3"/>
      <c r="N49" s="3"/>
      <c r="O49" s="3"/>
    </row>
    <row r="50" spans="7:15" x14ac:dyDescent="0.25">
      <c r="G50" s="3"/>
      <c r="H50" s="3"/>
      <c r="I50" s="3"/>
      <c r="J50" s="3"/>
      <c r="K50" s="3"/>
      <c r="L50" s="3"/>
      <c r="M50" s="3"/>
      <c r="N50" s="3"/>
      <c r="O50" s="3"/>
    </row>
    <row r="51" spans="7:15" x14ac:dyDescent="0.25">
      <c r="G51" s="3"/>
      <c r="H51" s="3"/>
      <c r="I51" s="3"/>
      <c r="J51" s="3"/>
      <c r="K51" s="3"/>
      <c r="L51" s="3"/>
      <c r="M51" s="3"/>
      <c r="N51" s="3"/>
      <c r="O51" s="3"/>
    </row>
    <row r="52" spans="7:15" x14ac:dyDescent="0.25">
      <c r="G52" s="3"/>
      <c r="H52" s="3"/>
      <c r="I52" s="3"/>
      <c r="J52" s="3"/>
      <c r="K52" s="3"/>
      <c r="L52" s="3"/>
      <c r="M52" s="3"/>
      <c r="N52" s="3"/>
      <c r="O52" s="3"/>
    </row>
    <row r="53" spans="7:15" x14ac:dyDescent="0.25">
      <c r="G53" s="3"/>
      <c r="H53" s="3"/>
      <c r="I53" s="3"/>
      <c r="J53" s="3"/>
      <c r="K53" s="3"/>
      <c r="L53" s="3"/>
      <c r="M53" s="3"/>
      <c r="N53" s="3"/>
      <c r="O53" s="3"/>
    </row>
    <row r="54" spans="7:15" x14ac:dyDescent="0.25">
      <c r="G54" s="3"/>
      <c r="H54" s="3"/>
      <c r="I54" s="3"/>
      <c r="J54" s="3"/>
      <c r="K54" s="3"/>
      <c r="L54" s="3"/>
      <c r="M54" s="3"/>
      <c r="N54" s="3"/>
      <c r="O54" s="3"/>
    </row>
    <row r="55" spans="7:15" x14ac:dyDescent="0.25">
      <c r="G55" s="3"/>
      <c r="H55" s="3"/>
      <c r="I55" s="3"/>
      <c r="J55" s="3"/>
      <c r="K55" s="3"/>
      <c r="L55" s="3"/>
      <c r="M55" s="3"/>
      <c r="N55" s="3"/>
      <c r="O55" s="3"/>
    </row>
    <row r="56" spans="7:15" x14ac:dyDescent="0.25">
      <c r="G56" s="3"/>
      <c r="H56" s="3"/>
      <c r="I56" s="3"/>
      <c r="J56" s="3"/>
      <c r="K56" s="3"/>
      <c r="L56" s="3"/>
      <c r="M56" s="3"/>
      <c r="N56" s="3"/>
      <c r="O56" s="3"/>
    </row>
    <row r="57" spans="7:15" x14ac:dyDescent="0.25">
      <c r="G57" s="3"/>
      <c r="H57" s="3"/>
      <c r="I57" s="3"/>
      <c r="J57" s="3"/>
      <c r="K57" s="3"/>
      <c r="L57" s="3"/>
      <c r="M57" s="3"/>
      <c r="N57" s="3"/>
      <c r="O57" s="3"/>
    </row>
    <row r="58" spans="7:15" x14ac:dyDescent="0.25">
      <c r="G58" s="3"/>
      <c r="H58" s="3"/>
      <c r="I58" s="3"/>
      <c r="J58" s="3"/>
      <c r="K58" s="3"/>
      <c r="L58" s="3"/>
      <c r="M58" s="3"/>
      <c r="N58" s="3"/>
      <c r="O58" s="3"/>
    </row>
    <row r="59" spans="7:15" x14ac:dyDescent="0.25">
      <c r="G59" s="3"/>
      <c r="H59" s="3"/>
      <c r="I59" s="3"/>
      <c r="J59" s="3"/>
      <c r="K59" s="3"/>
      <c r="L59" s="3"/>
      <c r="M59" s="3"/>
      <c r="N59" s="3"/>
      <c r="O59" s="3"/>
    </row>
    <row r="60" spans="7:15" x14ac:dyDescent="0.25">
      <c r="G60" s="3"/>
      <c r="H60" s="3"/>
      <c r="I60" s="3"/>
      <c r="J60" s="3"/>
      <c r="K60" s="3"/>
      <c r="L60" s="3"/>
      <c r="M60" s="3"/>
      <c r="N60" s="3"/>
      <c r="O60" s="3"/>
    </row>
    <row r="61" spans="7:15" x14ac:dyDescent="0.25">
      <c r="G61" s="3"/>
      <c r="H61" s="3"/>
      <c r="I61" s="3"/>
      <c r="J61" s="3"/>
      <c r="K61" s="3"/>
      <c r="L61" s="3"/>
      <c r="M61" s="3"/>
      <c r="N61" s="3"/>
      <c r="O61" s="3"/>
    </row>
    <row r="62" spans="7:15" x14ac:dyDescent="0.25">
      <c r="G62" s="3"/>
      <c r="H62" s="3"/>
      <c r="I62" s="3"/>
      <c r="J62" s="3"/>
      <c r="K62" s="3"/>
      <c r="L62" s="3"/>
      <c r="M62" s="3"/>
      <c r="N62" s="3"/>
      <c r="O62" s="3"/>
    </row>
    <row r="63" spans="7:15" x14ac:dyDescent="0.25">
      <c r="G63" s="3"/>
      <c r="H63" s="3"/>
      <c r="I63" s="3"/>
      <c r="J63" s="3"/>
      <c r="K63" s="3"/>
      <c r="L63" s="3"/>
      <c r="M63" s="3"/>
      <c r="N63" s="3"/>
      <c r="O63" s="3"/>
    </row>
    <row r="64" spans="7:15" x14ac:dyDescent="0.25">
      <c r="G64" s="3"/>
      <c r="H64" s="3"/>
      <c r="I64" s="3"/>
      <c r="J64" s="3"/>
      <c r="K64" s="3"/>
      <c r="L64" s="3"/>
      <c r="M64" s="3"/>
      <c r="N64" s="3"/>
      <c r="O64" s="3"/>
    </row>
    <row r="65" spans="7:15" x14ac:dyDescent="0.25">
      <c r="G65" s="3"/>
      <c r="H65" s="3"/>
      <c r="I65" s="3"/>
      <c r="J65" s="3"/>
      <c r="K65" s="3"/>
      <c r="L65" s="3"/>
      <c r="M65" s="3"/>
      <c r="N65" s="3"/>
      <c r="O65" s="3"/>
    </row>
    <row r="66" spans="7:15" x14ac:dyDescent="0.25">
      <c r="G66" s="3"/>
      <c r="H66" s="3"/>
      <c r="I66" s="3"/>
      <c r="J66" s="3"/>
      <c r="K66" s="3"/>
      <c r="L66" s="3"/>
      <c r="M66" s="3"/>
      <c r="N66" s="3"/>
      <c r="O66" s="3"/>
    </row>
    <row r="67" spans="7:15" x14ac:dyDescent="0.25">
      <c r="G67" s="3"/>
      <c r="H67" s="3"/>
      <c r="I67" s="3"/>
      <c r="J67" s="3"/>
      <c r="K67" s="3"/>
      <c r="L67" s="3"/>
      <c r="M67" s="3"/>
      <c r="N67" s="3"/>
      <c r="O67" s="3"/>
    </row>
    <row r="68" spans="7:15" x14ac:dyDescent="0.25">
      <c r="G68" s="3"/>
      <c r="H68" s="3"/>
      <c r="I68" s="3"/>
      <c r="J68" s="3"/>
      <c r="K68" s="3"/>
      <c r="L68" s="3"/>
      <c r="M68" s="3"/>
      <c r="N68" s="3"/>
      <c r="O68" s="3"/>
    </row>
    <row r="69" spans="7:15" x14ac:dyDescent="0.25">
      <c r="G69" s="3"/>
      <c r="H69" s="3"/>
      <c r="I69" s="3"/>
      <c r="J69" s="3"/>
      <c r="K69" s="3"/>
      <c r="L69" s="3"/>
      <c r="M69" s="3"/>
      <c r="N69" s="3"/>
      <c r="O69" s="3"/>
    </row>
    <row r="70" spans="7:15" x14ac:dyDescent="0.25">
      <c r="G70" s="3"/>
      <c r="H70" s="3"/>
      <c r="I70" s="3"/>
      <c r="J70" s="3"/>
      <c r="K70" s="3"/>
      <c r="L70" s="3"/>
      <c r="M70" s="3"/>
      <c r="N70" s="3"/>
      <c r="O70" s="3"/>
    </row>
    <row r="71" spans="7:15" x14ac:dyDescent="0.25">
      <c r="G71" s="3"/>
      <c r="H71" s="3"/>
      <c r="I71" s="3"/>
      <c r="J71" s="3"/>
      <c r="K71" s="3"/>
      <c r="L71" s="3"/>
      <c r="M71" s="3"/>
      <c r="N71" s="3"/>
      <c r="O71" s="3"/>
    </row>
    <row r="72" spans="7:15" x14ac:dyDescent="0.25">
      <c r="G72" s="3"/>
      <c r="H72" s="3"/>
      <c r="I72" s="3"/>
      <c r="J72" s="3"/>
      <c r="K72" s="3"/>
      <c r="L72" s="3"/>
      <c r="M72" s="3"/>
      <c r="N72" s="3"/>
      <c r="O72" s="3"/>
    </row>
    <row r="73" spans="7:15" x14ac:dyDescent="0.25">
      <c r="G73" s="3"/>
      <c r="H73" s="3"/>
      <c r="I73" s="3"/>
      <c r="J73" s="3"/>
      <c r="K73" s="3"/>
      <c r="L73" s="3"/>
      <c r="M73" s="3"/>
      <c r="N73" s="3"/>
      <c r="O73" s="3"/>
    </row>
    <row r="74" spans="7:15" x14ac:dyDescent="0.25">
      <c r="G74" s="3"/>
      <c r="H74" s="3"/>
      <c r="I74" s="3"/>
      <c r="J74" s="3"/>
      <c r="K74" s="3"/>
      <c r="L74" s="3"/>
      <c r="M74" s="3"/>
      <c r="N74" s="3"/>
      <c r="O74" s="3"/>
    </row>
    <row r="75" spans="7:15" x14ac:dyDescent="0.25">
      <c r="G75" s="3"/>
      <c r="H75" s="3"/>
      <c r="I75" s="3"/>
      <c r="J75" s="3"/>
      <c r="K75" s="3"/>
      <c r="L75" s="3"/>
      <c r="M75" s="3"/>
      <c r="N75" s="3"/>
      <c r="O75" s="3"/>
    </row>
    <row r="76" spans="7:15" x14ac:dyDescent="0.25">
      <c r="G76" s="3"/>
      <c r="H76" s="3"/>
      <c r="I76" s="3"/>
      <c r="J76" s="3"/>
      <c r="K76" s="3"/>
      <c r="L76" s="3"/>
      <c r="M76" s="3"/>
      <c r="N76" s="3"/>
      <c r="O76" s="3"/>
    </row>
    <row r="77" spans="7:15" x14ac:dyDescent="0.25">
      <c r="G77" s="3"/>
      <c r="H77" s="3"/>
      <c r="I77" s="3"/>
      <c r="J77" s="3"/>
      <c r="K77" s="3"/>
      <c r="L77" s="3"/>
      <c r="M77" s="3"/>
      <c r="N77" s="3"/>
      <c r="O77" s="3"/>
    </row>
    <row r="78" spans="7:15" x14ac:dyDescent="0.25">
      <c r="G78" s="3"/>
      <c r="H78" s="3"/>
      <c r="I78" s="3"/>
      <c r="J78" s="3"/>
      <c r="K78" s="3"/>
      <c r="L78" s="3"/>
      <c r="M78" s="3"/>
      <c r="N78" s="3"/>
      <c r="O78" s="3"/>
    </row>
    <row r="79" spans="7:15" x14ac:dyDescent="0.25">
      <c r="G79" s="3"/>
      <c r="H79" s="3"/>
      <c r="I79" s="3"/>
      <c r="J79" s="3"/>
      <c r="K79" s="3"/>
      <c r="L79" s="3"/>
      <c r="M79" s="3"/>
      <c r="N79" s="3"/>
      <c r="O79" s="3"/>
    </row>
    <row r="80" spans="7:15" x14ac:dyDescent="0.25">
      <c r="G80" s="3"/>
      <c r="H80" s="3"/>
      <c r="I80" s="3"/>
      <c r="J80" s="3"/>
      <c r="K80" s="3"/>
      <c r="L80" s="3"/>
      <c r="M80" s="3"/>
      <c r="N80" s="3"/>
      <c r="O80" s="3"/>
    </row>
    <row r="81" spans="7:15" x14ac:dyDescent="0.25">
      <c r="G81" s="3"/>
      <c r="H81" s="3"/>
      <c r="I81" s="3"/>
      <c r="J81" s="3"/>
      <c r="K81" s="3"/>
      <c r="L81" s="3"/>
      <c r="M81" s="3"/>
      <c r="N81" s="3"/>
      <c r="O81" s="3"/>
    </row>
    <row r="82" spans="7:15" x14ac:dyDescent="0.25">
      <c r="G82" s="3"/>
      <c r="H82" s="3"/>
      <c r="I82" s="3"/>
      <c r="J82" s="3"/>
      <c r="K82" s="3"/>
      <c r="L82" s="3"/>
      <c r="M82" s="3"/>
      <c r="N82" s="3"/>
      <c r="O82" s="3"/>
    </row>
    <row r="83" spans="7:15" x14ac:dyDescent="0.25">
      <c r="G83" s="3"/>
      <c r="H83" s="3"/>
      <c r="I83" s="3"/>
      <c r="J83" s="3"/>
      <c r="K83" s="3"/>
      <c r="L83" s="3"/>
      <c r="M83" s="3"/>
      <c r="N83" s="3"/>
      <c r="O83" s="3"/>
    </row>
    <row r="84" spans="7:15" x14ac:dyDescent="0.25">
      <c r="G84" s="3"/>
      <c r="H84" s="3"/>
      <c r="I84" s="3"/>
      <c r="J84" s="3"/>
      <c r="K84" s="3"/>
      <c r="L84" s="3"/>
      <c r="M84" s="3"/>
      <c r="N84" s="3"/>
      <c r="O84" s="3"/>
    </row>
    <row r="85" spans="7:15" x14ac:dyDescent="0.25">
      <c r="G85" s="3"/>
      <c r="H85" s="3"/>
      <c r="I85" s="3"/>
      <c r="J85" s="3"/>
      <c r="K85" s="3"/>
      <c r="L85" s="3"/>
      <c r="M85" s="3"/>
      <c r="N85" s="3"/>
      <c r="O85" s="3"/>
    </row>
    <row r="86" spans="7:15" x14ac:dyDescent="0.25">
      <c r="G86" s="3"/>
      <c r="H86" s="3"/>
      <c r="I86" s="3"/>
      <c r="J86" s="3"/>
      <c r="K86" s="3"/>
      <c r="L86" s="3"/>
      <c r="M86" s="3"/>
      <c r="N86" s="3"/>
      <c r="O86" s="3"/>
    </row>
    <row r="87" spans="7:15" x14ac:dyDescent="0.25">
      <c r="G87" s="3"/>
      <c r="H87" s="3"/>
      <c r="I87" s="3"/>
      <c r="J87" s="3"/>
      <c r="K87" s="3"/>
      <c r="L87" s="3"/>
      <c r="M87" s="3"/>
      <c r="N87" s="3"/>
      <c r="O87" s="3"/>
    </row>
    <row r="88" spans="7:15" x14ac:dyDescent="0.25">
      <c r="G88" s="3"/>
      <c r="H88" s="3"/>
      <c r="I88" s="3"/>
      <c r="J88" s="3"/>
      <c r="K88" s="3"/>
      <c r="L88" s="3"/>
      <c r="M88" s="3"/>
      <c r="N88" s="3"/>
      <c r="O88" s="3"/>
    </row>
    <row r="89" spans="7:15" x14ac:dyDescent="0.25">
      <c r="G89" s="3"/>
      <c r="H89" s="3"/>
      <c r="I89" s="3"/>
      <c r="J89" s="3"/>
      <c r="K89" s="3"/>
      <c r="L89" s="3"/>
      <c r="M89" s="3"/>
      <c r="N89" s="3"/>
      <c r="O89" s="3"/>
    </row>
    <row r="90" spans="7:15" x14ac:dyDescent="0.25">
      <c r="G90" s="3"/>
      <c r="H90" s="3"/>
      <c r="I90" s="3"/>
      <c r="J90" s="3"/>
      <c r="K90" s="3"/>
      <c r="L90" s="3"/>
      <c r="M90" s="3"/>
      <c r="N90" s="3"/>
      <c r="O90" s="3"/>
    </row>
    <row r="91" spans="7:15" x14ac:dyDescent="0.25">
      <c r="G91" s="3"/>
      <c r="H91" s="3"/>
      <c r="I91" s="3"/>
      <c r="J91" s="3"/>
      <c r="K91" s="3"/>
      <c r="L91" s="3"/>
      <c r="M91" s="3"/>
      <c r="N91" s="3"/>
      <c r="O91" s="3"/>
    </row>
    <row r="92" spans="7:15" x14ac:dyDescent="0.25">
      <c r="G92" s="3"/>
      <c r="H92" s="3"/>
      <c r="I92" s="3"/>
      <c r="J92" s="3"/>
      <c r="K92" s="3"/>
      <c r="L92" s="3"/>
      <c r="M92" s="3"/>
      <c r="N92" s="3"/>
      <c r="O92" s="3"/>
    </row>
    <row r="93" spans="7:15" x14ac:dyDescent="0.25">
      <c r="G93" s="3"/>
      <c r="H93" s="3"/>
      <c r="I93" s="3"/>
      <c r="J93" s="3"/>
      <c r="K93" s="3"/>
      <c r="L93" s="3"/>
      <c r="M93" s="3"/>
      <c r="N93" s="3"/>
      <c r="O93" s="3"/>
    </row>
    <row r="94" spans="7:15" x14ac:dyDescent="0.25">
      <c r="G94" s="3"/>
      <c r="H94" s="3"/>
      <c r="I94" s="3"/>
      <c r="J94" s="3"/>
      <c r="K94" s="3"/>
      <c r="L94" s="3"/>
      <c r="M94" s="3"/>
      <c r="N94" s="3"/>
      <c r="O94" s="3"/>
    </row>
    <row r="95" spans="7:15" x14ac:dyDescent="0.25">
      <c r="G95" s="3"/>
      <c r="H95" s="3"/>
      <c r="I95" s="3"/>
      <c r="J95" s="3"/>
      <c r="K95" s="3"/>
      <c r="L95" s="3"/>
      <c r="M95" s="3"/>
      <c r="N95" s="3"/>
      <c r="O95" s="3"/>
    </row>
    <row r="96" spans="7:15" x14ac:dyDescent="0.25">
      <c r="G96" s="3"/>
      <c r="H96" s="3"/>
      <c r="I96" s="3"/>
      <c r="J96" s="3"/>
      <c r="K96" s="3"/>
      <c r="L96" s="3"/>
      <c r="M96" s="3"/>
      <c r="N96" s="3"/>
      <c r="O96" s="3"/>
    </row>
    <row r="97" spans="7:15" x14ac:dyDescent="0.25">
      <c r="G97" s="3"/>
      <c r="H97" s="3"/>
      <c r="I97" s="3"/>
      <c r="J97" s="3"/>
      <c r="K97" s="3"/>
      <c r="L97" s="3"/>
      <c r="M97" s="3"/>
      <c r="N97" s="3"/>
      <c r="O97" s="3"/>
    </row>
    <row r="98" spans="7:15" x14ac:dyDescent="0.25">
      <c r="G98" s="3"/>
      <c r="H98" s="3"/>
      <c r="I98" s="3"/>
      <c r="J98" s="3"/>
      <c r="K98" s="3"/>
      <c r="L98" s="3"/>
      <c r="M98" s="3"/>
      <c r="N98" s="3"/>
      <c r="O98" s="3"/>
    </row>
    <row r="99" spans="7:15" x14ac:dyDescent="0.25">
      <c r="G99" s="3"/>
      <c r="H99" s="3"/>
      <c r="I99" s="3"/>
      <c r="J99" s="3"/>
      <c r="K99" s="3"/>
      <c r="L99" s="3"/>
      <c r="M99" s="3"/>
      <c r="N99" s="3"/>
      <c r="O99" s="3"/>
    </row>
    <row r="100" spans="7:15" x14ac:dyDescent="0.25">
      <c r="G100" s="3"/>
      <c r="H100" s="3"/>
      <c r="I100" s="3"/>
      <c r="J100" s="3"/>
      <c r="K100" s="3"/>
      <c r="L100" s="3"/>
      <c r="M100" s="3"/>
      <c r="N100" s="3"/>
      <c r="O100" s="3"/>
    </row>
    <row r="101" spans="7:15" x14ac:dyDescent="0.25">
      <c r="G101" s="3"/>
      <c r="H101" s="3"/>
      <c r="I101" s="3"/>
      <c r="J101" s="3"/>
      <c r="K101" s="3"/>
      <c r="L101" s="3"/>
      <c r="M101" s="3"/>
      <c r="N101" s="3"/>
      <c r="O101" s="3"/>
    </row>
    <row r="102" spans="7:15" x14ac:dyDescent="0.25">
      <c r="G102" s="3"/>
      <c r="H102" s="3"/>
      <c r="I102" s="3"/>
      <c r="J102" s="3"/>
      <c r="K102" s="3"/>
      <c r="L102" s="3"/>
      <c r="M102" s="3"/>
      <c r="N102" s="3"/>
      <c r="O102" s="3"/>
    </row>
    <row r="103" spans="7:15" x14ac:dyDescent="0.25">
      <c r="G103" s="3"/>
      <c r="H103" s="3"/>
      <c r="I103" s="3"/>
      <c r="J103" s="3"/>
      <c r="K103" s="3"/>
      <c r="L103" s="3"/>
      <c r="M103" s="3"/>
      <c r="N103" s="3"/>
      <c r="O103" s="3"/>
    </row>
    <row r="104" spans="7:15" x14ac:dyDescent="0.25">
      <c r="G104" s="3"/>
      <c r="H104" s="3"/>
      <c r="I104" s="3"/>
      <c r="J104" s="3"/>
      <c r="K104" s="3"/>
      <c r="L104" s="3"/>
      <c r="M104" s="3"/>
      <c r="N104" s="3"/>
      <c r="O104" s="3"/>
    </row>
    <row r="105" spans="7:15" x14ac:dyDescent="0.25">
      <c r="G105" s="3"/>
      <c r="H105" s="3"/>
      <c r="I105" s="3"/>
      <c r="J105" s="3"/>
      <c r="K105" s="3"/>
      <c r="L105" s="3"/>
      <c r="M105" s="3"/>
      <c r="N105" s="3"/>
      <c r="O105" s="3"/>
    </row>
    <row r="106" spans="7:15" x14ac:dyDescent="0.25">
      <c r="G106" s="3"/>
      <c r="H106" s="3"/>
      <c r="I106" s="3"/>
      <c r="J106" s="3"/>
      <c r="K106" s="3"/>
      <c r="L106" s="3"/>
      <c r="M106" s="3"/>
      <c r="N106" s="3"/>
      <c r="O106" s="3"/>
    </row>
    <row r="107" spans="7:15" x14ac:dyDescent="0.25">
      <c r="G107" s="3"/>
      <c r="H107" s="3"/>
      <c r="I107" s="3"/>
      <c r="J107" s="3"/>
      <c r="K107" s="3"/>
      <c r="L107" s="3"/>
      <c r="M107" s="3"/>
      <c r="N107" s="3"/>
      <c r="O107" s="3"/>
    </row>
    <row r="108" spans="7:15" x14ac:dyDescent="0.25">
      <c r="G108" s="3"/>
      <c r="H108" s="3"/>
      <c r="I108" s="3"/>
      <c r="J108" s="3"/>
      <c r="K108" s="3"/>
      <c r="L108" s="3"/>
      <c r="M108" s="3"/>
      <c r="N108" s="3"/>
      <c r="O108" s="3"/>
    </row>
    <row r="109" spans="7:15" x14ac:dyDescent="0.25">
      <c r="G109" s="3"/>
      <c r="H109" s="3"/>
      <c r="I109" s="3"/>
      <c r="J109" s="3"/>
      <c r="K109" s="3"/>
      <c r="L109" s="3"/>
      <c r="M109" s="3"/>
      <c r="N109" s="3"/>
      <c r="O109" s="3"/>
    </row>
    <row r="110" spans="7:15" x14ac:dyDescent="0.25">
      <c r="G110" s="3"/>
      <c r="H110" s="3"/>
      <c r="I110" s="3"/>
      <c r="J110" s="3"/>
      <c r="K110" s="3"/>
      <c r="L110" s="3"/>
      <c r="M110" s="3"/>
      <c r="N110" s="3"/>
      <c r="O110" s="3"/>
    </row>
    <row r="111" spans="7:15" x14ac:dyDescent="0.25">
      <c r="G111" s="3"/>
      <c r="H111" s="3"/>
      <c r="I111" s="3"/>
      <c r="J111" s="3"/>
      <c r="K111" s="3"/>
      <c r="L111" s="3"/>
      <c r="M111" s="3"/>
      <c r="N111" s="3"/>
      <c r="O111" s="3"/>
    </row>
    <row r="112" spans="7:15" x14ac:dyDescent="0.25">
      <c r="G112" s="3"/>
      <c r="H112" s="3"/>
      <c r="I112" s="3"/>
      <c r="J112" s="3"/>
      <c r="K112" s="3"/>
      <c r="L112" s="3"/>
      <c r="M112" s="3"/>
      <c r="N112" s="3"/>
      <c r="O112" s="3"/>
    </row>
    <row r="113" spans="7:15" x14ac:dyDescent="0.25">
      <c r="G113" s="3"/>
      <c r="H113" s="3"/>
      <c r="I113" s="3"/>
      <c r="J113" s="3"/>
      <c r="K113" s="3"/>
      <c r="L113" s="3"/>
      <c r="M113" s="3"/>
      <c r="N113" s="3"/>
      <c r="O113" s="3"/>
    </row>
    <row r="114" spans="7:15" x14ac:dyDescent="0.25">
      <c r="G114" s="3"/>
      <c r="H114" s="3"/>
      <c r="I114" s="3"/>
      <c r="J114" s="3"/>
      <c r="K114" s="3"/>
      <c r="L114" s="3"/>
      <c r="M114" s="3"/>
      <c r="N114" s="3"/>
      <c r="O114" s="3"/>
    </row>
    <row r="115" spans="7:15" x14ac:dyDescent="0.25">
      <c r="G115" s="3"/>
      <c r="H115" s="3"/>
      <c r="I115" s="3"/>
      <c r="J115" s="3"/>
      <c r="K115" s="3"/>
      <c r="L115" s="3"/>
      <c r="M115" s="3"/>
      <c r="N115" s="3"/>
      <c r="O115" s="3"/>
    </row>
    <row r="116" spans="7:15" x14ac:dyDescent="0.25">
      <c r="G116" s="3"/>
      <c r="H116" s="3"/>
      <c r="I116" s="3"/>
      <c r="J116" s="3"/>
      <c r="K116" s="3"/>
      <c r="L116" s="3"/>
      <c r="M116" s="3"/>
      <c r="N116" s="3"/>
      <c r="O116" s="3"/>
    </row>
    <row r="117" spans="7:15" x14ac:dyDescent="0.25">
      <c r="G117" s="3"/>
      <c r="H117" s="3"/>
      <c r="I117" s="3"/>
      <c r="J117" s="3"/>
      <c r="K117" s="3"/>
      <c r="L117" s="3"/>
      <c r="M117" s="3"/>
      <c r="N117" s="3"/>
      <c r="O117" s="3"/>
    </row>
    <row r="118" spans="7:15" x14ac:dyDescent="0.25">
      <c r="G118" s="3"/>
      <c r="H118" s="3"/>
      <c r="I118" s="3"/>
      <c r="J118" s="3"/>
      <c r="K118" s="3"/>
      <c r="L118" s="3"/>
      <c r="M118" s="3"/>
      <c r="N118" s="3"/>
      <c r="O118" s="3"/>
    </row>
    <row r="119" spans="7:15" x14ac:dyDescent="0.25">
      <c r="G119" s="3"/>
      <c r="H119" s="3"/>
      <c r="I119" s="3"/>
      <c r="J119" s="3"/>
      <c r="K119" s="3"/>
      <c r="L119" s="3"/>
      <c r="M119" s="3"/>
      <c r="N119" s="3"/>
      <c r="O119" s="3"/>
    </row>
    <row r="120" spans="7:15" x14ac:dyDescent="0.25">
      <c r="G120" s="3"/>
      <c r="H120" s="3"/>
      <c r="I120" s="3"/>
      <c r="J120" s="3"/>
      <c r="K120" s="3"/>
      <c r="L120" s="3"/>
      <c r="M120" s="3"/>
      <c r="N120" s="3"/>
      <c r="O120" s="3"/>
    </row>
    <row r="121" spans="7:15" x14ac:dyDescent="0.25">
      <c r="G121" s="3"/>
      <c r="H121" s="3"/>
      <c r="I121" s="3"/>
      <c r="J121" s="3"/>
      <c r="K121" s="3"/>
      <c r="L121" s="3"/>
      <c r="M121" s="3"/>
      <c r="N121" s="3"/>
      <c r="O121" s="3"/>
    </row>
    <row r="122" spans="7:15" x14ac:dyDescent="0.25">
      <c r="G122" s="3"/>
      <c r="H122" s="3"/>
      <c r="I122" s="3"/>
      <c r="J122" s="3"/>
      <c r="K122" s="3"/>
      <c r="L122" s="3"/>
      <c r="M122" s="3"/>
      <c r="N122" s="3"/>
      <c r="O122" s="3"/>
    </row>
    <row r="123" spans="7:15" x14ac:dyDescent="0.25">
      <c r="G123" s="3"/>
      <c r="H123" s="3"/>
      <c r="I123" s="3"/>
      <c r="J123" s="3"/>
      <c r="K123" s="3"/>
      <c r="L123" s="3"/>
      <c r="M123" s="3"/>
      <c r="N123" s="3"/>
      <c r="O123" s="3"/>
    </row>
    <row r="124" spans="7:15" x14ac:dyDescent="0.25">
      <c r="G124" s="3"/>
      <c r="H124" s="3"/>
      <c r="I124" s="3"/>
      <c r="J124" s="3"/>
      <c r="K124" s="3"/>
      <c r="L124" s="3"/>
      <c r="M124" s="3"/>
      <c r="N124" s="3"/>
      <c r="O124" s="3"/>
    </row>
    <row r="125" spans="7:15" x14ac:dyDescent="0.25">
      <c r="G125" s="3"/>
      <c r="H125" s="3"/>
      <c r="I125" s="3"/>
      <c r="J125" s="3"/>
      <c r="K125" s="3"/>
      <c r="L125" s="3"/>
      <c r="M125" s="3"/>
      <c r="N125" s="3"/>
      <c r="O125" s="3"/>
    </row>
    <row r="126" spans="7:15" x14ac:dyDescent="0.25">
      <c r="G126" s="3"/>
      <c r="H126" s="3"/>
      <c r="I126" s="3"/>
      <c r="J126" s="3"/>
      <c r="K126" s="3"/>
      <c r="L126" s="3"/>
      <c r="M126" s="3"/>
      <c r="N126" s="3"/>
      <c r="O126" s="3"/>
    </row>
    <row r="127" spans="7:15" x14ac:dyDescent="0.25">
      <c r="G127" s="3"/>
      <c r="H127" s="3"/>
      <c r="I127" s="3"/>
      <c r="J127" s="3"/>
      <c r="K127" s="3"/>
      <c r="L127" s="3"/>
      <c r="M127" s="3"/>
      <c r="N127" s="3"/>
      <c r="O127" s="3"/>
    </row>
    <row r="128" spans="7:15" x14ac:dyDescent="0.25">
      <c r="G128" s="3"/>
      <c r="H128" s="3"/>
      <c r="I128" s="3"/>
      <c r="J128" s="3"/>
      <c r="K128" s="3"/>
      <c r="L128" s="3"/>
      <c r="M128" s="3"/>
      <c r="N128" s="3"/>
      <c r="O128" s="3"/>
    </row>
    <row r="129" spans="7:15" x14ac:dyDescent="0.25">
      <c r="G129" s="3"/>
      <c r="H129" s="3"/>
      <c r="I129" s="3"/>
      <c r="J129" s="3"/>
      <c r="K129" s="3"/>
      <c r="L129" s="3"/>
      <c r="M129" s="3"/>
      <c r="N129" s="3"/>
      <c r="O129" s="3"/>
    </row>
    <row r="130" spans="7:15" x14ac:dyDescent="0.25">
      <c r="G130" s="3"/>
      <c r="H130" s="3"/>
      <c r="I130" s="3"/>
      <c r="J130" s="3"/>
      <c r="K130" s="3"/>
      <c r="L130" s="3"/>
      <c r="M130" s="3"/>
      <c r="N130" s="3"/>
      <c r="O130" s="3"/>
    </row>
    <row r="131" spans="7:15" x14ac:dyDescent="0.25">
      <c r="G131" s="3"/>
      <c r="H131" s="3"/>
      <c r="I131" s="3"/>
      <c r="J131" s="3"/>
      <c r="K131" s="3"/>
      <c r="L131" s="3"/>
      <c r="M131" s="3"/>
      <c r="N131" s="3"/>
      <c r="O131" s="3"/>
    </row>
    <row r="132" spans="7:15" x14ac:dyDescent="0.25">
      <c r="G132" s="3"/>
      <c r="H132" s="3"/>
      <c r="I132" s="3"/>
      <c r="J132" s="3"/>
      <c r="K132" s="3"/>
      <c r="L132" s="3"/>
      <c r="M132" s="3"/>
      <c r="N132" s="3"/>
      <c r="O132" s="3"/>
    </row>
    <row r="133" spans="7:15" x14ac:dyDescent="0.25">
      <c r="G133" s="3"/>
      <c r="H133" s="3"/>
      <c r="I133" s="3"/>
      <c r="J133" s="3"/>
      <c r="K133" s="3"/>
      <c r="L133" s="3"/>
      <c r="M133" s="3"/>
      <c r="N133" s="3"/>
      <c r="O133" s="3"/>
    </row>
    <row r="134" spans="7:15" x14ac:dyDescent="0.25">
      <c r="G134" s="3"/>
      <c r="H134" s="3"/>
      <c r="I134" s="3"/>
      <c r="J134" s="3"/>
      <c r="K134" s="3"/>
      <c r="L134" s="3"/>
      <c r="M134" s="3"/>
      <c r="N134" s="3"/>
      <c r="O134" s="3"/>
    </row>
    <row r="135" spans="7:15" x14ac:dyDescent="0.25">
      <c r="G135" s="3"/>
      <c r="H135" s="3"/>
      <c r="I135" s="3"/>
      <c r="J135" s="3"/>
      <c r="K135" s="3"/>
      <c r="L135" s="3"/>
      <c r="M135" s="3"/>
      <c r="N135" s="3"/>
      <c r="O135" s="3"/>
    </row>
    <row r="136" spans="7:15" x14ac:dyDescent="0.25">
      <c r="G136" s="3"/>
      <c r="H136" s="3"/>
      <c r="I136" s="3"/>
      <c r="J136" s="3"/>
      <c r="K136" s="3"/>
      <c r="L136" s="3"/>
      <c r="M136" s="3"/>
      <c r="N136" s="3"/>
      <c r="O136" s="3"/>
    </row>
    <row r="137" spans="7:15" x14ac:dyDescent="0.25">
      <c r="G137" s="3"/>
      <c r="H137" s="3"/>
      <c r="I137" s="3"/>
      <c r="J137" s="3"/>
      <c r="K137" s="3"/>
      <c r="L137" s="3"/>
      <c r="M137" s="3"/>
      <c r="N137" s="3"/>
      <c r="O137" s="3"/>
    </row>
    <row r="138" spans="7:15" x14ac:dyDescent="0.25">
      <c r="G138" s="3"/>
      <c r="H138" s="3"/>
      <c r="I138" s="3"/>
      <c r="J138" s="3"/>
      <c r="K138" s="3"/>
      <c r="L138" s="3"/>
      <c r="M138" s="3"/>
      <c r="N138" s="3"/>
      <c r="O138" s="3"/>
    </row>
    <row r="139" spans="7:15" x14ac:dyDescent="0.25">
      <c r="G139" s="3"/>
      <c r="H139" s="3"/>
      <c r="I139" s="3"/>
      <c r="J139" s="3"/>
      <c r="K139" s="3"/>
      <c r="L139" s="3"/>
      <c r="M139" s="3"/>
      <c r="N139" s="3"/>
      <c r="O139" s="3"/>
    </row>
    <row r="140" spans="7:15" x14ac:dyDescent="0.25">
      <c r="G140" s="3"/>
      <c r="H140" s="3"/>
      <c r="I140" s="3"/>
      <c r="J140" s="3"/>
      <c r="K140" s="3"/>
      <c r="L140" s="3"/>
      <c r="M140" s="3"/>
      <c r="N140" s="3"/>
      <c r="O140" s="3"/>
    </row>
    <row r="141" spans="7:15" x14ac:dyDescent="0.25">
      <c r="G141" s="3"/>
      <c r="H141" s="3"/>
      <c r="I141" s="3"/>
      <c r="J141" s="3"/>
      <c r="K141" s="3"/>
      <c r="L141" s="3"/>
      <c r="M141" s="3"/>
      <c r="N141" s="3"/>
      <c r="O141" s="3"/>
    </row>
    <row r="142" spans="7:15" x14ac:dyDescent="0.25">
      <c r="G142" s="3"/>
      <c r="H142" s="3"/>
      <c r="I142" s="3"/>
      <c r="J142" s="3"/>
      <c r="K142" s="3"/>
      <c r="L142" s="3"/>
      <c r="M142" s="3"/>
      <c r="N142" s="3"/>
      <c r="O142" s="3"/>
    </row>
    <row r="143" spans="7:15" x14ac:dyDescent="0.25">
      <c r="G143" s="3"/>
      <c r="H143" s="3"/>
      <c r="I143" s="3"/>
      <c r="J143" s="3"/>
      <c r="K143" s="3"/>
      <c r="L143" s="3"/>
      <c r="M143" s="3"/>
      <c r="N143" s="3"/>
      <c r="O143" s="3"/>
    </row>
    <row r="144" spans="7:15" x14ac:dyDescent="0.25">
      <c r="G144" s="3"/>
      <c r="H144" s="3"/>
      <c r="I144" s="3"/>
      <c r="J144" s="3"/>
      <c r="K144" s="3"/>
      <c r="L144" s="3"/>
      <c r="M144" s="3"/>
      <c r="N144" s="3"/>
      <c r="O144" s="3"/>
    </row>
    <row r="145" spans="7:15" x14ac:dyDescent="0.25">
      <c r="G145" s="3"/>
      <c r="H145" s="3"/>
      <c r="I145" s="3"/>
      <c r="J145" s="3"/>
      <c r="K145" s="3"/>
      <c r="L145" s="3"/>
      <c r="M145" s="3"/>
      <c r="N145" s="3"/>
      <c r="O145" s="3"/>
    </row>
    <row r="146" spans="7:15" x14ac:dyDescent="0.25">
      <c r="G146" s="3"/>
      <c r="H146" s="3"/>
      <c r="I146" s="3"/>
      <c r="J146" s="3"/>
      <c r="K146" s="3"/>
      <c r="L146" s="3"/>
      <c r="M146" s="3"/>
      <c r="N146" s="3"/>
      <c r="O146" s="3"/>
    </row>
    <row r="147" spans="7:15" x14ac:dyDescent="0.25">
      <c r="G147" s="3"/>
      <c r="H147" s="3"/>
      <c r="I147" s="3"/>
      <c r="J147" s="3"/>
      <c r="K147" s="3"/>
      <c r="L147" s="3"/>
      <c r="M147" s="3"/>
      <c r="N147" s="3"/>
      <c r="O147" s="3"/>
    </row>
    <row r="148" spans="7:15" x14ac:dyDescent="0.25">
      <c r="G148" s="3"/>
      <c r="H148" s="3"/>
      <c r="I148" s="3"/>
      <c r="J148" s="3"/>
      <c r="K148" s="3"/>
      <c r="L148" s="3"/>
      <c r="M148" s="3"/>
      <c r="N148" s="3"/>
      <c r="O148" s="3"/>
    </row>
    <row r="149" spans="7:15" x14ac:dyDescent="0.25">
      <c r="G149" s="3"/>
      <c r="H149" s="3"/>
      <c r="I149" s="3"/>
      <c r="J149" s="3"/>
      <c r="K149" s="3"/>
      <c r="L149" s="3"/>
      <c r="M149" s="3"/>
      <c r="N149" s="3"/>
      <c r="O149" s="3"/>
    </row>
    <row r="150" spans="7:15" x14ac:dyDescent="0.25">
      <c r="G150" s="3"/>
      <c r="H150" s="3"/>
      <c r="I150" s="3"/>
      <c r="J150" s="3"/>
      <c r="K150" s="3"/>
      <c r="L150" s="3"/>
      <c r="M150" s="3"/>
      <c r="N150" s="3"/>
      <c r="O150" s="3"/>
    </row>
    <row r="151" spans="7:15" x14ac:dyDescent="0.25">
      <c r="G151" s="3"/>
      <c r="H151" s="3"/>
      <c r="I151" s="3"/>
      <c r="J151" s="3"/>
      <c r="K151" s="3"/>
      <c r="L151" s="3"/>
      <c r="M151" s="3"/>
      <c r="N151" s="3"/>
      <c r="O151" s="3"/>
    </row>
    <row r="152" spans="7:15" x14ac:dyDescent="0.25">
      <c r="G152" s="3"/>
      <c r="H152" s="3"/>
      <c r="I152" s="3"/>
      <c r="J152" s="3"/>
      <c r="K152" s="3"/>
      <c r="L152" s="3"/>
      <c r="M152" s="3"/>
      <c r="N152" s="3"/>
      <c r="O152" s="3"/>
    </row>
    <row r="153" spans="7:15" x14ac:dyDescent="0.25">
      <c r="G153" s="3"/>
      <c r="H153" s="3"/>
      <c r="I153" s="3"/>
      <c r="J153" s="3"/>
      <c r="K153" s="3"/>
      <c r="L153" s="3"/>
      <c r="M153" s="3"/>
      <c r="N153" s="3"/>
      <c r="O153" s="3"/>
    </row>
    <row r="154" spans="7:15" x14ac:dyDescent="0.25">
      <c r="G154" s="3"/>
      <c r="H154" s="3"/>
      <c r="I154" s="3"/>
      <c r="J154" s="3"/>
      <c r="K154" s="3"/>
      <c r="L154" s="3"/>
      <c r="M154" s="3"/>
      <c r="N154" s="3"/>
      <c r="O154" s="3"/>
    </row>
    <row r="155" spans="7:15" x14ac:dyDescent="0.25">
      <c r="G155" s="3"/>
      <c r="H155" s="3"/>
      <c r="I155" s="3"/>
      <c r="J155" s="3"/>
      <c r="K155" s="3"/>
      <c r="L155" s="3"/>
      <c r="M155" s="3"/>
      <c r="N155" s="3"/>
      <c r="O155" s="3"/>
    </row>
    <row r="156" spans="7:15" x14ac:dyDescent="0.25">
      <c r="G156" s="3"/>
      <c r="H156" s="3"/>
      <c r="I156" s="3"/>
      <c r="J156" s="3"/>
      <c r="K156" s="3"/>
      <c r="L156" s="3"/>
      <c r="M156" s="3"/>
      <c r="N156" s="3"/>
      <c r="O156" s="3"/>
    </row>
    <row r="157" spans="7:15" x14ac:dyDescent="0.25">
      <c r="G157" s="3"/>
      <c r="H157" s="3"/>
      <c r="I157" s="3"/>
      <c r="J157" s="3"/>
      <c r="K157" s="3"/>
      <c r="L157" s="3"/>
      <c r="M157" s="3"/>
      <c r="N157" s="3"/>
      <c r="O157" s="3"/>
    </row>
    <row r="158" spans="7:15" x14ac:dyDescent="0.25">
      <c r="G158" s="3"/>
      <c r="H158" s="3"/>
      <c r="I158" s="3"/>
      <c r="J158" s="3"/>
      <c r="K158" s="3"/>
      <c r="L158" s="3"/>
      <c r="M158" s="3"/>
      <c r="N158" s="3"/>
      <c r="O158" s="3"/>
    </row>
    <row r="159" spans="7:15" x14ac:dyDescent="0.25">
      <c r="G159" s="3"/>
      <c r="H159" s="3"/>
      <c r="I159" s="3"/>
      <c r="J159" s="3"/>
      <c r="K159" s="3"/>
      <c r="L159" s="3"/>
      <c r="M159" s="3"/>
      <c r="N159" s="3"/>
      <c r="O159" s="3"/>
    </row>
    <row r="160" spans="7:15" x14ac:dyDescent="0.25">
      <c r="G160" s="3"/>
      <c r="H160" s="3"/>
      <c r="I160" s="3"/>
      <c r="J160" s="3"/>
      <c r="K160" s="3"/>
      <c r="L160" s="3"/>
      <c r="M160" s="3"/>
      <c r="N160" s="3"/>
      <c r="O160" s="3"/>
    </row>
    <row r="161" spans="7:15" x14ac:dyDescent="0.25">
      <c r="G161" s="3"/>
      <c r="H161" s="3"/>
      <c r="I161" s="3"/>
      <c r="J161" s="3"/>
      <c r="K161" s="3"/>
      <c r="L161" s="3"/>
      <c r="M161" s="3"/>
      <c r="N161" s="3"/>
      <c r="O161" s="3"/>
    </row>
    <row r="162" spans="7:15" x14ac:dyDescent="0.25">
      <c r="G162" s="3"/>
      <c r="H162" s="3"/>
      <c r="I162" s="3"/>
      <c r="J162" s="3"/>
      <c r="K162" s="3"/>
      <c r="L162" s="3"/>
      <c r="M162" s="3"/>
      <c r="N162" s="3"/>
      <c r="O162" s="3"/>
    </row>
    <row r="163" spans="7:15" x14ac:dyDescent="0.25">
      <c r="G163" s="3"/>
      <c r="H163" s="3"/>
      <c r="I163" s="3"/>
      <c r="J163" s="3"/>
      <c r="K163" s="3"/>
      <c r="L163" s="3"/>
      <c r="M163" s="3"/>
      <c r="N163" s="3"/>
      <c r="O163" s="3"/>
    </row>
    <row r="164" spans="7:15" x14ac:dyDescent="0.25">
      <c r="G164" s="3"/>
      <c r="H164" s="3"/>
      <c r="I164" s="3"/>
      <c r="J164" s="3"/>
      <c r="K164" s="3"/>
      <c r="L164" s="3"/>
      <c r="M164" s="3"/>
      <c r="N164" s="3"/>
      <c r="O164" s="3"/>
    </row>
    <row r="165" spans="7:15" x14ac:dyDescent="0.25">
      <c r="G165" s="3"/>
      <c r="H165" s="3"/>
      <c r="I165" s="3"/>
      <c r="J165" s="3"/>
      <c r="K165" s="3"/>
      <c r="L165" s="3"/>
      <c r="M165" s="3"/>
      <c r="N165" s="3"/>
      <c r="O165" s="3"/>
    </row>
    <row r="166" spans="7:15" x14ac:dyDescent="0.25">
      <c r="G166" s="3"/>
      <c r="H166" s="3"/>
      <c r="I166" s="3"/>
      <c r="J166" s="3"/>
      <c r="K166" s="3"/>
      <c r="L166" s="3"/>
      <c r="M166" s="3"/>
      <c r="N166" s="3"/>
      <c r="O166" s="3"/>
    </row>
    <row r="167" spans="7:15" x14ac:dyDescent="0.25">
      <c r="G167" s="3"/>
      <c r="H167" s="3"/>
      <c r="I167" s="3"/>
      <c r="J167" s="3"/>
      <c r="K167" s="3"/>
      <c r="L167" s="3"/>
      <c r="M167" s="3"/>
      <c r="N167" s="3"/>
      <c r="O167" s="3"/>
    </row>
    <row r="168" spans="7:15" x14ac:dyDescent="0.25">
      <c r="G168" s="3"/>
      <c r="H168" s="3"/>
      <c r="I168" s="3"/>
      <c r="J168" s="3"/>
      <c r="K168" s="3"/>
      <c r="L168" s="3"/>
      <c r="M168" s="3"/>
      <c r="N168" s="3"/>
      <c r="O168" s="3"/>
    </row>
    <row r="169" spans="7:15" x14ac:dyDescent="0.25">
      <c r="G169" s="3"/>
      <c r="H169" s="3"/>
      <c r="I169" s="3"/>
      <c r="J169" s="3"/>
      <c r="K169" s="3"/>
      <c r="L169" s="3"/>
      <c r="M169" s="3"/>
      <c r="N169" s="3"/>
      <c r="O169" s="3"/>
    </row>
    <row r="170" spans="7:15" x14ac:dyDescent="0.25">
      <c r="G170" s="3"/>
      <c r="H170" s="3"/>
      <c r="I170" s="3"/>
      <c r="J170" s="3"/>
      <c r="K170" s="3"/>
      <c r="L170" s="3"/>
      <c r="M170" s="3"/>
      <c r="N170" s="3"/>
      <c r="O170" s="3"/>
    </row>
    <row r="171" spans="7:15" x14ac:dyDescent="0.25">
      <c r="G171" s="3"/>
      <c r="H171" s="3"/>
      <c r="I171" s="3"/>
      <c r="J171" s="3"/>
      <c r="K171" s="3"/>
      <c r="L171" s="3"/>
      <c r="M171" s="3"/>
      <c r="N171" s="3"/>
      <c r="O171" s="3"/>
    </row>
    <row r="172" spans="7:15" x14ac:dyDescent="0.25">
      <c r="G172" s="3"/>
      <c r="H172" s="3"/>
      <c r="I172" s="3"/>
      <c r="J172" s="3"/>
      <c r="K172" s="3"/>
      <c r="L172" s="3"/>
      <c r="M172" s="3"/>
      <c r="N172" s="3"/>
      <c r="O172" s="3"/>
    </row>
    <row r="173" spans="7:15" x14ac:dyDescent="0.25">
      <c r="G173" s="3"/>
      <c r="H173" s="3"/>
      <c r="I173" s="3"/>
      <c r="J173" s="3"/>
      <c r="K173" s="3"/>
      <c r="L173" s="3"/>
      <c r="M173" s="3"/>
      <c r="N173" s="3"/>
      <c r="O173" s="3"/>
    </row>
    <row r="174" spans="7:15" x14ac:dyDescent="0.25">
      <c r="G174" s="3"/>
      <c r="H174" s="3"/>
      <c r="I174" s="3"/>
      <c r="J174" s="3"/>
      <c r="K174" s="3"/>
      <c r="L174" s="3"/>
      <c r="M174" s="3"/>
      <c r="N174" s="3"/>
      <c r="O174" s="3"/>
    </row>
    <row r="175" spans="7:15" x14ac:dyDescent="0.25">
      <c r="G175" s="3"/>
      <c r="H175" s="3"/>
      <c r="I175" s="3"/>
      <c r="J175" s="3"/>
      <c r="K175" s="3"/>
      <c r="L175" s="3"/>
      <c r="M175" s="3"/>
      <c r="N175" s="3"/>
      <c r="O175" s="3"/>
    </row>
    <row r="176" spans="7:15" x14ac:dyDescent="0.25">
      <c r="G176" s="3"/>
      <c r="H176" s="3"/>
      <c r="I176" s="3"/>
      <c r="J176" s="3"/>
      <c r="K176" s="3"/>
      <c r="L176" s="3"/>
      <c r="M176" s="3"/>
      <c r="N176" s="3"/>
      <c r="O176" s="3"/>
    </row>
    <row r="177" spans="7:15" x14ac:dyDescent="0.25">
      <c r="G177" s="3"/>
      <c r="H177" s="3"/>
      <c r="I177" s="3"/>
      <c r="J177" s="3"/>
      <c r="K177" s="3"/>
      <c r="L177" s="3"/>
      <c r="M177" s="3"/>
      <c r="N177" s="3"/>
      <c r="O177" s="3"/>
    </row>
    <row r="178" spans="7:15" x14ac:dyDescent="0.25">
      <c r="G178" s="3"/>
      <c r="H178" s="3"/>
      <c r="I178" s="3"/>
      <c r="J178" s="3"/>
      <c r="K178" s="3"/>
      <c r="L178" s="3"/>
      <c r="M178" s="3"/>
      <c r="N178" s="3"/>
      <c r="O178" s="3"/>
    </row>
    <row r="179" spans="7:15" x14ac:dyDescent="0.25">
      <c r="G179" s="3"/>
      <c r="H179" s="3"/>
      <c r="I179" s="3"/>
      <c r="J179" s="3"/>
      <c r="K179" s="3"/>
      <c r="L179" s="3"/>
      <c r="M179" s="3"/>
      <c r="N179" s="3"/>
      <c r="O179" s="3"/>
    </row>
    <row r="180" spans="7:15" x14ac:dyDescent="0.25">
      <c r="G180" s="3"/>
      <c r="H180" s="3"/>
      <c r="I180" s="3"/>
      <c r="J180" s="3"/>
      <c r="K180" s="3"/>
      <c r="L180" s="3"/>
      <c r="M180" s="3"/>
      <c r="N180" s="3"/>
      <c r="O180" s="3"/>
    </row>
    <row r="181" spans="7:15" x14ac:dyDescent="0.25">
      <c r="G181" s="3"/>
      <c r="H181" s="3"/>
      <c r="I181" s="3"/>
      <c r="J181" s="3"/>
      <c r="K181" s="3"/>
      <c r="L181" s="3"/>
      <c r="M181" s="3"/>
      <c r="N181" s="3"/>
      <c r="O181" s="3"/>
    </row>
    <row r="182" spans="7:15" x14ac:dyDescent="0.25">
      <c r="G182" s="3"/>
      <c r="H182" s="3"/>
      <c r="I182" s="3"/>
      <c r="J182" s="3"/>
      <c r="K182" s="3"/>
      <c r="L182" s="3"/>
      <c r="M182" s="3"/>
      <c r="N182" s="3"/>
      <c r="O182" s="3"/>
    </row>
    <row r="183" spans="7:15" x14ac:dyDescent="0.25">
      <c r="G183" s="3"/>
      <c r="H183" s="3"/>
      <c r="I183" s="3"/>
      <c r="J183" s="3"/>
      <c r="K183" s="3"/>
      <c r="L183" s="3"/>
      <c r="M183" s="3"/>
      <c r="N183" s="3"/>
      <c r="O183" s="3"/>
    </row>
    <row r="184" spans="7:15" x14ac:dyDescent="0.25">
      <c r="G184" s="3"/>
      <c r="H184" s="3"/>
      <c r="I184" s="3"/>
      <c r="J184" s="3"/>
      <c r="K184" s="3"/>
      <c r="L184" s="3"/>
      <c r="M184" s="3"/>
      <c r="N184" s="3"/>
      <c r="O184" s="3"/>
    </row>
    <row r="185" spans="7:15" x14ac:dyDescent="0.25">
      <c r="G185" s="3"/>
      <c r="H185" s="3"/>
      <c r="I185" s="3"/>
      <c r="J185" s="3"/>
      <c r="K185" s="3"/>
      <c r="L185" s="3"/>
      <c r="M185" s="3"/>
      <c r="N185" s="3"/>
      <c r="O185" s="3"/>
    </row>
    <row r="186" spans="7:15" x14ac:dyDescent="0.25">
      <c r="G186" s="3"/>
      <c r="H186" s="3"/>
      <c r="I186" s="3"/>
      <c r="J186" s="3"/>
      <c r="K186" s="3"/>
      <c r="L186" s="3"/>
      <c r="M186" s="3"/>
      <c r="N186" s="3"/>
      <c r="O186" s="3"/>
    </row>
    <row r="187" spans="7:15" x14ac:dyDescent="0.25">
      <c r="G187" s="3"/>
      <c r="H187" s="3"/>
      <c r="I187" s="3"/>
      <c r="J187" s="3"/>
      <c r="K187" s="3"/>
      <c r="L187" s="3"/>
      <c r="M187" s="3"/>
      <c r="N187" s="3"/>
      <c r="O187" s="3"/>
    </row>
    <row r="188" spans="7:15" x14ac:dyDescent="0.25">
      <c r="G188" s="3"/>
      <c r="H188" s="3"/>
      <c r="I188" s="3"/>
      <c r="J188" s="3"/>
      <c r="K188" s="3"/>
      <c r="L188" s="3"/>
      <c r="M188" s="3"/>
      <c r="N188" s="3"/>
      <c r="O188" s="3"/>
    </row>
    <row r="189" spans="7:15" x14ac:dyDescent="0.25">
      <c r="G189" s="3"/>
      <c r="H189" s="3"/>
      <c r="I189" s="3"/>
      <c r="J189" s="3"/>
      <c r="K189" s="3"/>
      <c r="L189" s="3"/>
      <c r="M189" s="3"/>
      <c r="N189" s="3"/>
      <c r="O189" s="3"/>
    </row>
    <row r="190" spans="7:15" x14ac:dyDescent="0.25">
      <c r="G190" s="3"/>
      <c r="H190" s="3"/>
      <c r="I190" s="3"/>
      <c r="J190" s="3"/>
      <c r="K190" s="3"/>
      <c r="L190" s="3"/>
      <c r="M190" s="3"/>
      <c r="N190" s="3"/>
      <c r="O190" s="3"/>
    </row>
    <row r="191" spans="7:15" x14ac:dyDescent="0.25">
      <c r="G191" s="3"/>
      <c r="H191" s="3"/>
      <c r="I191" s="3"/>
      <c r="J191" s="3"/>
      <c r="K191" s="3"/>
      <c r="L191" s="3"/>
      <c r="M191" s="3"/>
      <c r="N191" s="3"/>
      <c r="O191" s="3"/>
    </row>
    <row r="192" spans="7:15" x14ac:dyDescent="0.25">
      <c r="G192" s="3"/>
      <c r="H192" s="3"/>
      <c r="I192" s="3"/>
      <c r="J192" s="3"/>
      <c r="K192" s="3"/>
      <c r="L192" s="3"/>
      <c r="M192" s="3"/>
      <c r="N192" s="3"/>
      <c r="O192" s="3"/>
    </row>
    <row r="193" spans="7:15" x14ac:dyDescent="0.25">
      <c r="G193" s="3"/>
      <c r="H193" s="3"/>
      <c r="I193" s="3"/>
      <c r="J193" s="3"/>
      <c r="K193" s="3"/>
      <c r="L193" s="3"/>
      <c r="M193" s="3"/>
      <c r="N193" s="3"/>
      <c r="O193"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1c4a647-6ce5-4501-ba3e-0f0ebbb1921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57D40CDFB84774D997EC6BD229238A7" ma:contentTypeVersion="8" ma:contentTypeDescription="Create a new document." ma:contentTypeScope="" ma:versionID="a3634b7aec79ee92435be105e621bad1">
  <xsd:schema xmlns:xsd="http://www.w3.org/2001/XMLSchema" xmlns:xs="http://www.w3.org/2001/XMLSchema" xmlns:p="http://schemas.microsoft.com/office/2006/metadata/properties" xmlns:ns3="31c4a647-6ce5-4501-ba3e-0f0ebbb19219" xmlns:ns4="d8d6a2e3-266b-4575-a4e8-e4b1eef96e5f" targetNamespace="http://schemas.microsoft.com/office/2006/metadata/properties" ma:root="true" ma:fieldsID="e4ac78ec4492e4c9ffeab65097b02355" ns3:_="" ns4:_="">
    <xsd:import namespace="31c4a647-6ce5-4501-ba3e-0f0ebbb19219"/>
    <xsd:import namespace="d8d6a2e3-266b-4575-a4e8-e4b1eef96e5f"/>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4a647-6ce5-4501-ba3e-0f0ebbb192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d6a2e3-266b-4575-a4e8-e4b1eef96e5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A42C091-EACC-4FA0-9DE1-B203B446D806}">
  <ds:schemaRefs>
    <ds:schemaRef ds:uri="http://schemas.microsoft.com/office/2006/documentManagement/types"/>
    <ds:schemaRef ds:uri="http://schemas.microsoft.com/office/infopath/2007/PartnerControls"/>
    <ds:schemaRef ds:uri="http://schemas.microsoft.com/office/2006/metadata/properties"/>
    <ds:schemaRef ds:uri="http://www.w3.org/XML/1998/namespace"/>
    <ds:schemaRef ds:uri="http://schemas.openxmlformats.org/package/2006/metadata/core-properties"/>
    <ds:schemaRef ds:uri="http://purl.org/dc/dcmitype/"/>
    <ds:schemaRef ds:uri="http://purl.org/dc/elements/1.1/"/>
    <ds:schemaRef ds:uri="d8d6a2e3-266b-4575-a4e8-e4b1eef96e5f"/>
    <ds:schemaRef ds:uri="31c4a647-6ce5-4501-ba3e-0f0ebbb19219"/>
    <ds:schemaRef ds:uri="http://purl.org/dc/terms/"/>
  </ds:schemaRefs>
</ds:datastoreItem>
</file>

<file path=customXml/itemProps2.xml><?xml version="1.0" encoding="utf-8"?>
<ds:datastoreItem xmlns:ds="http://schemas.openxmlformats.org/officeDocument/2006/customXml" ds:itemID="{9876DD74-511B-4A25-A007-7402A0A9BA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c4a647-6ce5-4501-ba3e-0f0ebbb19219"/>
    <ds:schemaRef ds:uri="d8d6a2e3-266b-4575-a4e8-e4b1eef96e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8FBA1C3-48E6-4179-95AD-C4C5A28876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110</vt:i4>
      </vt:variant>
    </vt:vector>
  </HeadingPairs>
  <TitlesOfParts>
    <vt:vector size="116" baseType="lpstr">
      <vt:lpstr>Parms</vt:lpstr>
      <vt:lpstr>Transaction Summary</vt:lpstr>
      <vt:lpstr>LBO Returns</vt:lpstr>
      <vt:lpstr>Financial Statements</vt:lpstr>
      <vt:lpstr>DCF Model</vt:lpstr>
      <vt:lpstr>DebtSchedule</vt:lpstr>
      <vt:lpstr>CanYouRedo</vt:lpstr>
      <vt:lpstr>CLASSEBITDA</vt:lpstr>
      <vt:lpstr>company.name</vt:lpstr>
      <vt:lpstr>D.F.Interest.Expense</vt:lpstr>
      <vt:lpstr>d.f.Ltdebt</vt:lpstr>
      <vt:lpstr>d.f.Stdebt</vt:lpstr>
      <vt:lpstr>D.H.Interest.Expense</vt:lpstr>
      <vt:lpstr>D.H.LTDebt</vt:lpstr>
      <vt:lpstr>D.H.STDebt</vt:lpstr>
      <vt:lpstr>dates.fcst</vt:lpstr>
      <vt:lpstr>dates.hist</vt:lpstr>
      <vt:lpstr>DCF.Debt</vt:lpstr>
      <vt:lpstr>DCF.Equity</vt:lpstr>
      <vt:lpstr>DCF.FCF.Year5</vt:lpstr>
      <vt:lpstr>DCF.Interest.Expense</vt:lpstr>
      <vt:lpstr>DCF.Pref.Stock</vt:lpstr>
      <vt:lpstr>DCF.Table</vt:lpstr>
      <vt:lpstr>DCF.Terminal.Discount</vt:lpstr>
      <vt:lpstr>DCF.Terminal.EBITDA</vt:lpstr>
      <vt:lpstr>delete</vt:lpstr>
      <vt:lpstr>F.Cash</vt:lpstr>
      <vt:lpstr>F.Cash.Financing</vt:lpstr>
      <vt:lpstr>F.Cash.Investments</vt:lpstr>
      <vt:lpstr>F.Cash.Ops</vt:lpstr>
      <vt:lpstr>F.COGS</vt:lpstr>
      <vt:lpstr>F.Delta.Working.Capital</vt:lpstr>
      <vt:lpstr>F.EBIT</vt:lpstr>
      <vt:lpstr>f.equity</vt:lpstr>
      <vt:lpstr>F.Fixed.Costs</vt:lpstr>
      <vt:lpstr>F.Margin</vt:lpstr>
      <vt:lpstr>F.Net.Income</vt:lpstr>
      <vt:lpstr>F.Revenues</vt:lpstr>
      <vt:lpstr>Goldman.Fee</vt:lpstr>
      <vt:lpstr>H.Amort.Exp</vt:lpstr>
      <vt:lpstr>H.Capital</vt:lpstr>
      <vt:lpstr>H.Cash</vt:lpstr>
      <vt:lpstr>H.Cash.Financing</vt:lpstr>
      <vt:lpstr>H.Cash.From.Ops</vt:lpstr>
      <vt:lpstr>H.Cash.Investment</vt:lpstr>
      <vt:lpstr>H.COGS</vt:lpstr>
      <vt:lpstr>H.Depr.Exp</vt:lpstr>
      <vt:lpstr>H.EBIT</vt:lpstr>
      <vt:lpstr>H.Fixed.Costs</vt:lpstr>
      <vt:lpstr>H.Gross.Margin</vt:lpstr>
      <vt:lpstr>H.Net.Income</vt:lpstr>
      <vt:lpstr>H.Operating.Income</vt:lpstr>
      <vt:lpstr>H.Revenues</vt:lpstr>
      <vt:lpstr>H.Total.Assets</vt:lpstr>
      <vt:lpstr>Hist.Amort</vt:lpstr>
      <vt:lpstr>hist.cash</vt:lpstr>
      <vt:lpstr>Hist.Depr</vt:lpstr>
      <vt:lpstr>Hist.EBIT</vt:lpstr>
      <vt:lpstr>LBO.Discount.Factors</vt:lpstr>
      <vt:lpstr>LBO.Equity</vt:lpstr>
      <vt:lpstr>LBO.Goodwill</vt:lpstr>
      <vt:lpstr>LBO.Junk</vt:lpstr>
      <vt:lpstr>LBO.LTDebt</vt:lpstr>
      <vt:lpstr>LBO.Revolver</vt:lpstr>
      <vt:lpstr>LBO.STDebt</vt:lpstr>
      <vt:lpstr>LBO.Unlevered.FCF</vt:lpstr>
      <vt:lpstr>Min.Cash</vt:lpstr>
      <vt:lpstr>p.f.accounts.payable.days</vt:lpstr>
      <vt:lpstr>p.f.accounts.rec.days</vt:lpstr>
      <vt:lpstr>p.f.accrueds</vt:lpstr>
      <vt:lpstr>p.f.amortization.expense</vt:lpstr>
      <vt:lpstr>p.f.buybacks</vt:lpstr>
      <vt:lpstr>p.f.capex</vt:lpstr>
      <vt:lpstr>p.f.cogs</vt:lpstr>
      <vt:lpstr>p.f.depreciation.expense</vt:lpstr>
      <vt:lpstr>p.f.dividends</vt:lpstr>
      <vt:lpstr>p.f.fixed.costs</vt:lpstr>
      <vt:lpstr>p.f.inventory.days</vt:lpstr>
      <vt:lpstr>p.f.prepaids</vt:lpstr>
      <vt:lpstr>p.f.revenues</vt:lpstr>
      <vt:lpstr>P.H.Accounts.Pay.Days</vt:lpstr>
      <vt:lpstr>P.H.Accounts.Rec.Days</vt:lpstr>
      <vt:lpstr>P.H.Accrued.Liabs</vt:lpstr>
      <vt:lpstr>P.H.Amortization.Expense</vt:lpstr>
      <vt:lpstr>P.H.Buybacks</vt:lpstr>
      <vt:lpstr>P.H.CAPEX</vt:lpstr>
      <vt:lpstr>P.H.COGS</vt:lpstr>
      <vt:lpstr>P.H.Depreciation.Expense</vt:lpstr>
      <vt:lpstr>P.H.Dividends</vt:lpstr>
      <vt:lpstr>P.H.Fixed.Costs</vt:lpstr>
      <vt:lpstr>P.H.Inventory.Days</vt:lpstr>
      <vt:lpstr>P.H.Prepaids</vt:lpstr>
      <vt:lpstr>P.H.Revenues</vt:lpstr>
      <vt:lpstr>PNC.Fee</vt:lpstr>
      <vt:lpstr>rate.revolver</vt:lpstr>
      <vt:lpstr>rate.sub.debt</vt:lpstr>
      <vt:lpstr>revolver</vt:lpstr>
      <vt:lpstr>rightrnage</vt:lpstr>
      <vt:lpstr>Shares.Outstanding</vt:lpstr>
      <vt:lpstr>Starting.Acc.Dep</vt:lpstr>
      <vt:lpstr>starting.cash</vt:lpstr>
      <vt:lpstr>starting.goodwill</vt:lpstr>
      <vt:lpstr>Starting.PPE</vt:lpstr>
      <vt:lpstr>sub.debt</vt:lpstr>
      <vt:lpstr>table.dordon</vt:lpstr>
      <vt:lpstr>table.gordon</vt:lpstr>
      <vt:lpstr>table.multiple</vt:lpstr>
      <vt:lpstr>tax.rate</vt:lpstr>
      <vt:lpstr>terminal.cash</vt:lpstr>
      <vt:lpstr>terminal.ebidta</vt:lpstr>
      <vt:lpstr>terminal.revolver</vt:lpstr>
      <vt:lpstr>terminal.sub.debt</vt:lpstr>
      <vt:lpstr>TV.Gordon</vt:lpstr>
      <vt:lpstr>TV.Multiple</vt:lpstr>
      <vt:lpstr>variable.Paydown</vt:lpstr>
      <vt:lpstr>WACC</vt:lpstr>
    </vt:vector>
  </TitlesOfParts>
  <Manager/>
  <Company>Kent State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Pelleg, David</dc:creator>
  <cp:keywords/>
  <dc:description/>
  <cp:lastModifiedBy>Beres, Ben</cp:lastModifiedBy>
  <cp:revision/>
  <dcterms:created xsi:type="dcterms:W3CDTF">2024-02-27T20:59:42Z</dcterms:created>
  <dcterms:modified xsi:type="dcterms:W3CDTF">2025-11-18T16:11:53Z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0x010100157D40CDFB84774D997EC6BD229238A7</vt:lpwstr>
  </property>
</Properties>
</file>